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76cc58656c4b11" /></Relationships>
</file>

<file path=xl/workbook.xml><?xml version="1.0" encoding="utf-8"?>
<workbook xmlns="http://schemas.openxmlformats.org/spreadsheetml/2006/main" xmlns:ns1="http://schemas.openxmlformats.org/officeDocument/2006/relationships">
  <sheets>
    <sheet name="COTIZACIÓN" sheetId="1" ns1:id="Rc2822acef5d644ae"/>
    <sheet name="CONFIGURACIÓN" sheetId="2" ns1:id="R4f44c01e163c4025"/>
  </sheets>
  <definedNames>
    <definedName name="_xlnm.Print_Area" localSheetId="0">'COTIZACIÓN'!$A$1:$H$34</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mm-yyyy"/>
    <x:numFmt numFmtId="201" formatCode="$#,##0;[Red]($#,##0);-"/>
    <x:numFmt numFmtId="202" formatCode="0%"/>
  </x:numFmts>
  <x:fonts count="15">
    <x:font>
      <x:sz val="11"/>
      <x:name val="Carlito"/>
    </x:font>
    <x:font>
      <x:b/>
      <x:sz val="15"/>
      <x:color rgb="FFFFFFFF"/>
      <x:name val="Arial"/>
    </x:font>
    <x:font>
      <x:b/>
      <x:sz val="16"/>
      <x:color rgb="FF2B2928"/>
      <x:name val="Arial"/>
    </x:font>
    <x:font>
      <x:i/>
      <x:sz val="9"/>
      <x:color rgb="FFB8543E"/>
      <x:name val="Arial"/>
    </x:font>
    <x:font>
      <x:b/>
      <x:sz val="9"/>
      <x:color rgb="FF2B2928"/>
      <x:name val="Arial"/>
    </x:font>
    <x:font>
      <x:b/>
      <x:sz val="9"/>
      <x:color rgb="FFFFFFFF"/>
      <x:name val="Arial"/>
    </x:font>
    <x:font>
      <x:sz val="9"/>
      <x:color rgb="FF2B2928"/>
      <x:name val="Arial"/>
    </x:font>
    <x:font>
      <x:b/>
      <x:sz val="10"/>
      <x:color rgb="FF2B2928"/>
      <x:name val="Arial"/>
    </x:font>
    <x:font>
      <x:sz val="8.5"/>
      <x:color rgb="FF2B2928"/>
      <x:name val="Arial"/>
    </x:font>
    <x:font>
      <x:b/>
      <x:sz val="8"/>
      <x:color rgb="FF9C0006"/>
      <x:name val="Arial"/>
    </x:font>
    <x:font>
      <x:i/>
      <x:sz val="8"/>
      <x:color rgb="FF2B2928"/>
      <x:name val="Arial"/>
    </x:font>
    <x:font>
      <x:sz val="8"/>
      <x:color rgb="FFFFFFFF"/>
      <x:name val="Arial"/>
    </x:font>
    <x:font>
      <x:sz val="11"/>
      <x:name val="Arial"/>
    </x:font>
    <x:font>
      <x:b/>
      <x:sz val="14"/>
      <x:color rgb="FFFFFFFF"/>
      <x:name val="Arial"/>
    </x:font>
    <x:font>
      <x:i/>
      <x:sz val="8.5"/>
      <x:color rgb="FF2B2928"/>
      <x:name val="Arial"/>
    </x:font>
  </x:fonts>
  <x:fills count="7">
    <x:fill>
      <x:patternFill patternType="none"/>
    </x:fill>
    <x:fill>
      <x:patternFill patternType="gray125"/>
    </x:fill>
    <x:fill>
      <x:patternFill patternType="solid">
        <x:fgColor rgb="FF2B2928"/>
      </x:patternFill>
    </x:fill>
    <x:fill>
      <x:patternFill patternType="solid">
        <x:fgColor rgb="FFFFF2CC"/>
      </x:patternFill>
    </x:fill>
    <x:fill>
      <x:patternFill patternType="solid">
        <x:fgColor rgb="FFF7F2EE"/>
      </x:patternFill>
    </x:fill>
    <x:fill>
      <x:patternFill patternType="solid">
        <x:fgColor rgb="FFB8543E"/>
      </x:patternFill>
    </x:fill>
    <x:fill>
      <x:patternFill patternType="solid">
        <x:fgColor rgb="FFFCE4D6"/>
      </x:patternFill>
    </x:fill>
  </x:fills>
  <x:borders count="10">
    <x:border>
      <x:left/>
      <x:right/>
      <x:top/>
      <x:bottom/>
      <x:diagonal/>
    </x:border>
    <x:border>
      <x:left style="thin">
        <x:color rgb="FFE7E3DF"/>
      </x:left>
      <x:right/>
      <x:top style="thin">
        <x:color rgb="FFE7E3DF"/>
      </x:top>
      <x:bottom/>
      <x:diagonal/>
    </x:border>
    <x:border>
      <x:left/>
      <x:right/>
      <x:top style="thin">
        <x:color rgb="FFE7E3DF"/>
      </x:top>
      <x:bottom/>
      <x:diagonal/>
    </x:border>
    <x:border>
      <x:left/>
      <x:right style="thin">
        <x:color rgb="FFE7E3DF"/>
      </x:right>
      <x:top style="thin">
        <x:color rgb="FFE7E3DF"/>
      </x:top>
      <x:bottom/>
      <x:diagonal/>
    </x:border>
    <x:border>
      <x:left style="thin">
        <x:color rgb="FFE7E3DF"/>
      </x:left>
      <x:right/>
      <x:top/>
      <x:bottom/>
      <x:diagonal/>
    </x:border>
    <x:border>
      <x:left/>
      <x:right style="thin">
        <x:color rgb="FFE7E3DF"/>
      </x:right>
      <x:top/>
      <x:bottom/>
      <x:diagonal/>
    </x:border>
    <x:border>
      <x:left style="thin">
        <x:color rgb="FFE7E3DF"/>
      </x:left>
      <x:right/>
      <x:top/>
      <x:bottom style="thin">
        <x:color rgb="FFE7E3DF"/>
      </x:bottom>
      <x:diagonal/>
    </x:border>
    <x:border>
      <x:left/>
      <x:right/>
      <x:top/>
      <x:bottom style="thin">
        <x:color rgb="FFE7E3DF"/>
      </x:bottom>
      <x:diagonal/>
    </x:border>
    <x:border>
      <x:left/>
      <x:right style="thin">
        <x:color rgb="FFE7E3DF"/>
      </x:right>
      <x:top/>
      <x:bottom style="thin">
        <x:color rgb="FFE7E3DF"/>
      </x:bottom>
      <x:diagonal/>
    </x:border>
    <x:border>
      <x:left style="thin">
        <x:color rgb="FFE7E3DF"/>
      </x:left>
      <x:right style="thin">
        <x:color rgb="FFE7E3DF"/>
      </x:right>
      <x:top style="thin">
        <x:color rgb="FFE7E3DF"/>
      </x:top>
      <x:bottom style="thin">
        <x:color rgb="FFE7E3DF"/>
      </x:bottom>
      <x:diagonal/>
    </x:border>
  </x:borders>
  <x:cellStyleXfs count="1">
    <x:xf numFmtId="0" fontId="0" fillId="0" borderId="0"/>
  </x:cellStyleXfs>
  <x:cellXfs count="16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horizontal="left"/>
    </x:xf>
    <x:xf numFmtId="0" fontId="2" fillId="0" borderId="0" xfId="0" applyNumberFormat="1" applyFont="1" applyFill="1" applyBorder="1" applyAlignment="1">
      <x:alignment horizontal="left" vertical="center"/>
    </x:xf>
    <x:xf numFmtId="0" fontId="3" fillId="0" borderId="0" xfId="0" applyNumberFormat="1" applyFont="1" applyFill="1" applyBorder="1"/>
    <x:xf numFmtId="0" fontId="3" fillId="0" borderId="0" xfId="0" applyNumberFormat="1" applyFont="1" applyFill="1" applyBorder="1" applyAlignment="1">
      <x:alignment horizontal="left"/>
    </x:xf>
    <x:xf numFmtId="0" fontId="4" fillId="0" borderId="0" xfId="0" applyNumberFormat="1" applyFont="1" applyFill="1" applyBorder="1"/>
    <x:xf numFmtId="0" fontId="0" fillId="3" borderId="0" xfId="0" applyNumberFormat="1" applyFont="1" applyFill="1" applyBorder="1"/>
    <x:xf numFmtId="0" fontId="0" fillId="4" borderId="0" xfId="0" applyNumberFormat="1" applyFont="1" applyFill="1" applyBorder="1"/>
    <x:xf numFmtId="200" fontId="0" fillId="3"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6" fillId="3" borderId="0" xfId="0" applyNumberFormat="1" applyFont="1" applyFill="1" applyBorder="1"/>
    <x:xf numFmtId="0" fontId="6" fillId="3" borderId="1" xfId="0" applyNumberFormat="1" applyFont="1" applyFill="1" applyBorder="1"/>
    <x:xf numFmtId="0" fontId="6" fillId="3" borderId="2" xfId="0" applyNumberFormat="1" applyFont="1" applyFill="1" applyBorder="1"/>
    <x:xf numFmtId="0" fontId="6" fillId="3" borderId="3" xfId="0" applyNumberFormat="1" applyFont="1" applyFill="1" applyBorder="1"/>
    <x:xf numFmtId="0" fontId="6" fillId="3" borderId="4" xfId="0" applyNumberFormat="1" applyFont="1" applyFill="1" applyBorder="1"/>
    <x:xf numFmtId="0" fontId="6" fillId="3" borderId="5" xfId="0" applyNumberFormat="1" applyFont="1" applyFill="1" applyBorder="1"/>
    <x:xf numFmtId="0" fontId="6" fillId="3" borderId="6" xfId="0" applyNumberFormat="1" applyFont="1" applyFill="1" applyBorder="1"/>
    <x:xf numFmtId="0" fontId="6" fillId="3" borderId="7" xfId="0" applyNumberFormat="1" applyFont="1" applyFill="1" applyBorder="1"/>
    <x:xf numFmtId="0" fontId="6" fillId="3" borderId="8" xfId="0" applyNumberFormat="1" applyFont="1" applyFill="1" applyBorder="1"/>
    <x:xf numFmtId="0" fontId="6" fillId="3" borderId="1" xfId="0" applyNumberFormat="1" applyFont="1" applyFill="1" applyBorder="1" applyAlignment="1">
      <x:alignment wrapText="1"/>
    </x:xf>
    <x:xf numFmtId="0" fontId="6" fillId="3" borderId="2" xfId="0" applyNumberFormat="1" applyFont="1" applyFill="1" applyBorder="1" applyAlignment="1">
      <x:alignment wrapText="1"/>
    </x:xf>
    <x:xf numFmtId="0" fontId="6" fillId="3" borderId="3" xfId="0" applyNumberFormat="1" applyFont="1" applyFill="1" applyBorder="1" applyAlignment="1">
      <x:alignment wrapText="1"/>
    </x:xf>
    <x:xf numFmtId="0" fontId="6" fillId="3" borderId="4" xfId="0" applyNumberFormat="1" applyFont="1" applyFill="1" applyBorder="1" applyAlignment="1">
      <x:alignment wrapText="1"/>
    </x:xf>
    <x:xf numFmtId="0" fontId="6" fillId="3" borderId="0" xfId="0" applyNumberFormat="1" applyFont="1" applyFill="1" applyBorder="1" applyAlignment="1">
      <x:alignment wrapText="1"/>
    </x:xf>
    <x:xf numFmtId="0" fontId="6" fillId="3" borderId="5" xfId="0" applyNumberFormat="1" applyFont="1" applyFill="1" applyBorder="1" applyAlignment="1">
      <x:alignment wrapText="1"/>
    </x:xf>
    <x:xf numFmtId="0" fontId="6" fillId="3" borderId="6" xfId="0" applyNumberFormat="1" applyFont="1" applyFill="1" applyBorder="1" applyAlignment="1">
      <x:alignment wrapText="1"/>
    </x:xf>
    <x:xf numFmtId="0" fontId="6" fillId="3" borderId="7" xfId="0" applyNumberFormat="1" applyFont="1" applyFill="1" applyBorder="1" applyAlignment="1">
      <x:alignment wrapText="1"/>
    </x:xf>
    <x:xf numFmtId="0" fontId="6" fillId="3" borderId="8" xfId="0" applyNumberFormat="1" applyFont="1" applyFill="1" applyBorder="1" applyAlignment="1">
      <x:alignment wrapText="1"/>
    </x:xf>
    <x:xf numFmtId="0" fontId="6" fillId="3" borderId="1" xfId="0" applyNumberFormat="1" applyFont="1" applyFill="1" applyBorder="1" applyAlignment="1">
      <x:alignment vertical="top" wrapText="1"/>
    </x:xf>
    <x:xf numFmtId="0" fontId="6" fillId="3" borderId="2" xfId="0" applyNumberFormat="1" applyFont="1" applyFill="1" applyBorder="1" applyAlignment="1">
      <x:alignment vertical="top" wrapText="1"/>
    </x:xf>
    <x:xf numFmtId="0" fontId="6" fillId="3" borderId="3" xfId="0" applyNumberFormat="1" applyFont="1" applyFill="1" applyBorder="1" applyAlignment="1">
      <x:alignment vertical="top" wrapText="1"/>
    </x:xf>
    <x:xf numFmtId="0" fontId="6" fillId="3" borderId="4"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6" fillId="3" borderId="5" xfId="0" applyNumberFormat="1" applyFont="1" applyFill="1" applyBorder="1" applyAlignment="1">
      <x:alignment vertical="top" wrapText="1"/>
    </x:xf>
    <x:xf numFmtId="0" fontId="6" fillId="3" borderId="6" xfId="0" applyNumberFormat="1" applyFont="1" applyFill="1" applyBorder="1" applyAlignment="1">
      <x:alignment vertical="top" wrapText="1"/>
    </x:xf>
    <x:xf numFmtId="0" fontId="6" fillId="3" borderId="7" xfId="0" applyNumberFormat="1" applyFont="1" applyFill="1" applyBorder="1" applyAlignment="1">
      <x:alignment vertical="top" wrapText="1"/>
    </x:xf>
    <x:xf numFmtId="0" fontId="6" fillId="3" borderId="8"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6" fillId="4" borderId="0" xfId="0" applyNumberFormat="1" applyFont="1" applyFill="1" applyBorder="1"/>
    <x:xf numFmtId="0" fontId="6" fillId="0" borderId="0" xfId="0" applyNumberFormat="1" applyFont="1" applyFill="1" applyBorder="1"/>
    <x:xf numFmtId="0" fontId="6" fillId="3" borderId="9" xfId="0" applyNumberFormat="1" applyFont="1" applyFill="1" applyBorder="1"/>
    <x:xf numFmtId="0" fontId="6" fillId="4" borderId="9" xfId="0" applyNumberFormat="1" applyFont="1" applyFill="1" applyBorder="1"/>
    <x:xf numFmtId="0" fontId="6" fillId="0" borderId="9" xfId="0" applyNumberFormat="1" applyFont="1" applyFill="1" applyBorder="1"/>
    <x:xf numFmtId="0" fontId="6" fillId="3" borderId="9" xfId="0" applyNumberFormat="1" applyFont="1" applyFill="1" applyBorder="1" applyAlignment="1">
      <x:alignment wrapText="1"/>
    </x:xf>
    <x:xf numFmtId="0" fontId="6" fillId="4" borderId="9" xfId="0" applyNumberFormat="1" applyFont="1" applyFill="1" applyBorder="1" applyAlignment="1">
      <x:alignment wrapText="1"/>
    </x:xf>
    <x:xf numFmtId="0" fontId="6" fillId="0" borderId="9" xfId="0" applyNumberFormat="1" applyFont="1" applyFill="1" applyBorder="1" applyAlignment="1">
      <x:alignment wrapText="1"/>
    </x:xf>
    <x:xf numFmtId="0" fontId="6" fillId="3" borderId="9" xfId="0" applyNumberFormat="1" applyFont="1" applyFill="1" applyBorder="1" applyAlignment="1">
      <x:alignment vertical="center" wrapText="1"/>
    </x:xf>
    <x:xf numFmtId="0" fontId="6" fillId="4" borderId="9" xfId="0" applyNumberFormat="1" applyFont="1" applyFill="1" applyBorder="1" applyAlignment="1">
      <x:alignment vertical="center" wrapText="1"/>
    </x:xf>
    <x:xf numFmtId="0" fontId="6" fillId="0" borderId="9" xfId="0" applyNumberFormat="1" applyFont="1" applyFill="1" applyBorder="1" applyAlignment="1">
      <x:alignment vertical="center" wrapText="1"/>
    </x:xf>
    <x:xf numFmtId="201" fontId="6" fillId="3" borderId="9" xfId="0" applyNumberFormat="1" applyFont="1" applyFill="1" applyBorder="1" applyAlignment="1">
      <x:alignment vertical="center" wrapText="1"/>
    </x:xf>
    <x:xf numFmtId="201" fontId="6" fillId="0" borderId="9" xfId="0" applyNumberFormat="1" applyFont="1" applyFill="1" applyBorder="1" applyAlignment="1">
      <x:alignment vertical="center" wrapText="1"/>
    </x:xf>
    <x:xf numFmtId="0" fontId="4" fillId="4" borderId="0" xfId="0" applyNumberFormat="1" applyFont="1" applyFill="1" applyBorder="1"/>
    <x:xf numFmtId="0" fontId="4" fillId="4" borderId="0" xfId="0" applyNumberFormat="1" applyFont="1" applyFill="1" applyBorder="1" applyAlignment="1">
      <x:alignment horizontal="right"/>
    </x:xf>
    <x:xf numFmtId="0" fontId="7" fillId="0" borderId="0" xfId="0" applyNumberFormat="1" applyFont="1" applyFill="1" applyBorder="1"/>
    <x:xf numFmtId="0" fontId="7" fillId="0" borderId="1"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8" xfId="0" applyNumberFormat="1" applyFont="1" applyFill="1" applyBorder="1"/>
    <x:xf numFmtId="201" fontId="7" fillId="0" borderId="1" xfId="0" applyNumberFormat="1" applyFont="1" applyFill="1" applyBorder="1"/>
    <x:xf numFmtId="201" fontId="7" fillId="0" borderId="3" xfId="0" applyNumberFormat="1" applyFont="1" applyFill="1" applyBorder="1"/>
    <x:xf numFmtId="201" fontId="7" fillId="0" borderId="4" xfId="0" applyNumberFormat="1" applyFont="1" applyFill="1" applyBorder="1"/>
    <x:xf numFmtId="201" fontId="7" fillId="0" borderId="5" xfId="0" applyNumberFormat="1" applyFont="1" applyFill="1" applyBorder="1"/>
    <x:xf numFmtId="201" fontId="7" fillId="0" borderId="6" xfId="0" applyNumberFormat="1" applyFont="1" applyFill="1" applyBorder="1"/>
    <x:xf numFmtId="201" fontId="7" fillId="0" borderId="8" xfId="0" applyNumberFormat="1" applyFont="1" applyFill="1" applyBorder="1"/>
    <x:xf numFmtId="201" fontId="7" fillId="0" borderId="1" xfId="0" applyNumberFormat="1" applyFont="1" applyFill="1" applyBorder="1" applyAlignment="1">
      <x:alignment horizontal="right"/>
    </x:xf>
    <x:xf numFmtId="201" fontId="7" fillId="0" borderId="3" xfId="0" applyNumberFormat="1" applyFont="1" applyFill="1" applyBorder="1" applyAlignment="1">
      <x:alignment horizontal="right"/>
    </x:xf>
    <x:xf numFmtId="201" fontId="7" fillId="0" borderId="4" xfId="0" applyNumberFormat="1" applyFont="1" applyFill="1" applyBorder="1" applyAlignment="1">
      <x:alignment horizontal="right"/>
    </x:xf>
    <x:xf numFmtId="201" fontId="7" fillId="0" borderId="5" xfId="0" applyNumberFormat="1" applyFont="1" applyFill="1" applyBorder="1" applyAlignment="1">
      <x:alignment horizontal="right"/>
    </x:xf>
    <x:xf numFmtId="201" fontId="7" fillId="0" borderId="6" xfId="0" applyNumberFormat="1" applyFont="1" applyFill="1" applyBorder="1" applyAlignment="1">
      <x:alignment horizontal="right"/>
    </x:xf>
    <x:xf numFmtId="201" fontId="7" fillId="0" borderId="8" xfId="0" applyNumberFormat="1" applyFont="1" applyFill="1" applyBorder="1" applyAlignment="1">
      <x:alignment horizontal="right"/>
    </x:xf>
    <x:xf numFmtId="0" fontId="4" fillId="3" borderId="0" xfId="0" applyNumberFormat="1" applyFont="1" applyFill="1" applyBorder="1" applyAlignment="1">
      <x:alignment horizontal="right"/>
    </x:xf>
    <x:xf numFmtId="201" fontId="7" fillId="3" borderId="4" xfId="0" applyNumberFormat="1" applyFont="1" applyFill="1" applyBorder="1" applyAlignment="1">
      <x:alignment horizontal="right"/>
    </x:xf>
    <x:xf numFmtId="201" fontId="7" fillId="3" borderId="5" xfId="0" applyNumberFormat="1" applyFont="1" applyFill="1" applyBorder="1" applyAlignment="1">
      <x:alignment horizontal="right"/>
    </x:xf>
    <x:xf numFmtId="0" fontId="8" fillId="3" borderId="0" xfId="0" applyNumberFormat="1" applyFont="1" applyFill="1" applyBorder="1"/>
    <x:xf numFmtId="0" fontId="8" fillId="3" borderId="1" xfId="0" applyNumberFormat="1" applyFont="1" applyFill="1" applyBorder="1"/>
    <x:xf numFmtId="0" fontId="8" fillId="3" borderId="2" xfId="0" applyNumberFormat="1" applyFont="1" applyFill="1" applyBorder="1"/>
    <x:xf numFmtId="0" fontId="8" fillId="3" borderId="3" xfId="0" applyNumberFormat="1" applyFont="1" applyFill="1" applyBorder="1"/>
    <x:xf numFmtId="0" fontId="8" fillId="3" borderId="4" xfId="0" applyNumberFormat="1" applyFont="1" applyFill="1" applyBorder="1"/>
    <x:xf numFmtId="0" fontId="8" fillId="3" borderId="5" xfId="0" applyNumberFormat="1" applyFont="1" applyFill="1" applyBorder="1"/>
    <x:xf numFmtId="0" fontId="8" fillId="3" borderId="6" xfId="0" applyNumberFormat="1" applyFont="1" applyFill="1" applyBorder="1"/>
    <x:xf numFmtId="0" fontId="8" fillId="3" borderId="7" xfId="0" applyNumberFormat="1" applyFont="1" applyFill="1" applyBorder="1"/>
    <x:xf numFmtId="0" fontId="8" fillId="3" borderId="8" xfId="0" applyNumberFormat="1" applyFont="1" applyFill="1" applyBorder="1"/>
    <x:xf numFmtId="0" fontId="8" fillId="3" borderId="1" xfId="0" applyNumberFormat="1" applyFont="1" applyFill="1" applyBorder="1" applyAlignment="1">
      <x:alignment wrapText="1"/>
    </x:xf>
    <x:xf numFmtId="0" fontId="8" fillId="3" borderId="2" xfId="0" applyNumberFormat="1" applyFont="1" applyFill="1" applyBorder="1" applyAlignment="1">
      <x:alignment wrapText="1"/>
    </x:xf>
    <x:xf numFmtId="0" fontId="8" fillId="3" borderId="3" xfId="0" applyNumberFormat="1" applyFont="1" applyFill="1" applyBorder="1" applyAlignment="1">
      <x:alignment wrapText="1"/>
    </x:xf>
    <x:xf numFmtId="0" fontId="8" fillId="3" borderId="4" xfId="0" applyNumberFormat="1" applyFont="1" applyFill="1" applyBorder="1" applyAlignment="1">
      <x:alignment wrapText="1"/>
    </x:xf>
    <x:xf numFmtId="0" fontId="8" fillId="3" borderId="0" xfId="0" applyNumberFormat="1" applyFont="1" applyFill="1" applyBorder="1" applyAlignment="1">
      <x:alignment wrapText="1"/>
    </x:xf>
    <x:xf numFmtId="0" fontId="8" fillId="3" borderId="5" xfId="0" applyNumberFormat="1" applyFont="1" applyFill="1" applyBorder="1" applyAlignment="1">
      <x:alignment wrapText="1"/>
    </x:xf>
    <x:xf numFmtId="0" fontId="8" fillId="3" borderId="6" xfId="0" applyNumberFormat="1" applyFont="1" applyFill="1" applyBorder="1" applyAlignment="1">
      <x:alignment wrapText="1"/>
    </x:xf>
    <x:xf numFmtId="0" fontId="8" fillId="3" borderId="7" xfId="0" applyNumberFormat="1" applyFont="1" applyFill="1" applyBorder="1" applyAlignment="1">
      <x:alignment wrapText="1"/>
    </x:xf>
    <x:xf numFmtId="0" fontId="8" fillId="3" borderId="8" xfId="0" applyNumberFormat="1" applyFont="1" applyFill="1" applyBorder="1" applyAlignment="1">
      <x:alignment wrapText="1"/>
    </x:xf>
    <x:xf numFmtId="0" fontId="8" fillId="3" borderId="1" xfId="0" applyNumberFormat="1" applyFont="1" applyFill="1" applyBorder="1" applyAlignment="1">
      <x:alignment vertical="top" wrapText="1"/>
    </x:xf>
    <x:xf numFmtId="0" fontId="8" fillId="3" borderId="2" xfId="0" applyNumberFormat="1" applyFont="1" applyFill="1" applyBorder="1" applyAlignment="1">
      <x:alignment vertical="top" wrapText="1"/>
    </x:xf>
    <x:xf numFmtId="0" fontId="8" fillId="3" borderId="3" xfId="0" applyNumberFormat="1" applyFont="1" applyFill="1" applyBorder="1" applyAlignment="1">
      <x:alignment vertical="top" wrapText="1"/>
    </x:xf>
    <x:xf numFmtId="0" fontId="8" fillId="3" borderId="4" xfId="0" applyNumberFormat="1" applyFont="1" applyFill="1" applyBorder="1" applyAlignment="1">
      <x:alignment vertical="top" wrapText="1"/>
    </x:xf>
    <x:xf numFmtId="0" fontId="8" fillId="3" borderId="0" xfId="0" applyNumberFormat="1" applyFont="1" applyFill="1" applyBorder="1" applyAlignment="1">
      <x:alignment vertical="top" wrapText="1"/>
    </x:xf>
    <x:xf numFmtId="0" fontId="8" fillId="3" borderId="5" xfId="0" applyNumberFormat="1" applyFont="1" applyFill="1" applyBorder="1" applyAlignment="1">
      <x:alignment vertical="top" wrapText="1"/>
    </x:xf>
    <x:xf numFmtId="0" fontId="8" fillId="3" borderId="6" xfId="0" applyNumberFormat="1" applyFont="1" applyFill="1" applyBorder="1" applyAlignment="1">
      <x:alignment vertical="top" wrapText="1"/>
    </x:xf>
    <x:xf numFmtId="0" fontId="8" fillId="3" borderId="7" xfId="0" applyNumberFormat="1" applyFont="1" applyFill="1" applyBorder="1" applyAlignment="1">
      <x:alignment vertical="top" wrapText="1"/>
    </x:xf>
    <x:xf numFmtId="0" fontId="8" fillId="3" borderId="8" xfId="0" applyNumberFormat="1" applyFont="1" applyFill="1" applyBorder="1" applyAlignment="1">
      <x:alignment vertical="top" wrapText="1"/>
    </x:xf>
    <x:xf numFmtId="0" fontId="0" fillId="6"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wrapText="1"/>
    </x:xf>
    <x:xf numFmtId="0" fontId="9" fillId="6" borderId="0" xfId="0" applyNumberFormat="1" applyFont="1" applyFill="1" applyBorder="1" applyAlignment="1">
      <x:alignment vertical="center" wrapText="1"/>
    </x:xf>
    <x:xf numFmtId="0" fontId="10" fillId="0" borderId="0" xfId="0" applyNumberFormat="1" applyFont="1" applyFill="1" applyBorder="1"/>
    <x:xf numFmtId="0" fontId="10" fillId="0" borderId="0" xfId="0" applyNumberFormat="1" applyFont="1" applyFill="1" applyBorder="1" applyAlignment="1">
      <x:alignment horizontal="center"/>
    </x:xf>
    <x:xf numFmtId="0" fontId="11" fillId="2" borderId="0" xfId="0" applyNumberFormat="1" applyFont="1" applyFill="1" applyBorder="1"/>
    <x:xf numFmtId="0" fontId="11" fillId="2" borderId="0" xfId="0" applyNumberFormat="1" applyFont="1" applyFill="1" applyBorder="1" applyAlignment="1">
      <x:alignment horizontal="center"/>
    </x:xf>
    <x:xf numFmtId="0" fontId="3" fillId="0" borderId="0" xfId="0" applyNumberFormat="1" applyFont="1" applyFill="1" applyBorder="1" applyAlignment="1">
      <x:alignment horizontal="left" vertical="center"/>
    </x:xf>
    <x:xf numFmtId="0" fontId="0"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0" fillId="3" borderId="0" xfId="0" applyNumberFormat="1" applyFont="1" applyFill="1" applyBorder="1" applyAlignment="1">
      <x:alignment vertical="center"/>
    </x:xf>
    <x:xf numFmtId="200" fontId="0" fillId="3" borderId="0" xfId="0" applyNumberFormat="1" applyFont="1" applyFill="1" applyBorder="1" applyAlignment="1">
      <x:alignment vertical="center"/>
    </x:xf>
    <x:xf numFmtId="0" fontId="0" fillId="4" borderId="0" xfId="0" applyNumberFormat="1" applyFont="1" applyFill="1" applyBorder="1" applyAlignment="1">
      <x:alignment vertical="center"/>
    </x:xf>
    <x:xf numFmtId="0" fontId="6" fillId="3" borderId="1" xfId="0" applyNumberFormat="1" applyFont="1" applyFill="1" applyBorder="1" applyAlignment="1">
      <x:alignment vertical="center" wrapText="1"/>
    </x:xf>
    <x:xf numFmtId="0" fontId="6" fillId="3" borderId="2" xfId="0" applyNumberFormat="1" applyFont="1" applyFill="1" applyBorder="1" applyAlignment="1">
      <x:alignment vertical="center" wrapText="1"/>
    </x:xf>
    <x:xf numFmtId="0" fontId="6" fillId="3" borderId="3" xfId="0" applyNumberFormat="1" applyFont="1" applyFill="1" applyBorder="1" applyAlignment="1">
      <x:alignment vertical="center" wrapText="1"/>
    </x:xf>
    <x:xf numFmtId="0" fontId="6" fillId="3" borderId="4" xfId="0" applyNumberFormat="1" applyFont="1" applyFill="1" applyBorder="1" applyAlignment="1">
      <x:alignment vertical="center" wrapText="1"/>
    </x:xf>
    <x:xf numFmtId="0" fontId="6" fillId="3" borderId="0" xfId="0" applyNumberFormat="1" applyFont="1" applyFill="1" applyBorder="1" applyAlignment="1">
      <x:alignment vertical="center" wrapText="1"/>
    </x:xf>
    <x:xf numFmtId="0" fontId="6" fillId="3" borderId="5" xfId="0" applyNumberFormat="1" applyFont="1" applyFill="1" applyBorder="1" applyAlignment="1">
      <x:alignment vertical="center" wrapText="1"/>
    </x:xf>
    <x:xf numFmtId="0" fontId="6" fillId="3" borderId="6" xfId="0" applyNumberFormat="1" applyFont="1" applyFill="1" applyBorder="1" applyAlignment="1">
      <x:alignment vertical="center" wrapText="1"/>
    </x:xf>
    <x:xf numFmtId="0" fontId="6" fillId="3" borderId="7" xfId="0" applyNumberFormat="1" applyFont="1" applyFill="1" applyBorder="1" applyAlignment="1">
      <x:alignment vertical="center" wrapText="1"/>
    </x:xf>
    <x:xf numFmtId="0" fontId="6" fillId="3" borderId="8" xfId="0" applyNumberFormat="1" applyFont="1" applyFill="1" applyBorder="1" applyAlignment="1">
      <x:alignment vertical="center" wrapText="1"/>
    </x:xf>
    <x:xf numFmtId="0" fontId="4" fillId="4" borderId="0" xfId="0" applyNumberFormat="1" applyFont="1" applyFill="1" applyBorder="1" applyAlignment="1">
      <x:alignment horizontal="right" vertical="center"/>
    </x:xf>
    <x:xf numFmtId="201" fontId="7" fillId="0" borderId="1" xfId="0" applyNumberFormat="1" applyFont="1" applyFill="1" applyBorder="1" applyAlignment="1">
      <x:alignment horizontal="right" vertical="center"/>
    </x:xf>
    <x:xf numFmtId="201" fontId="7" fillId="0" borderId="3" xfId="0" applyNumberFormat="1" applyFont="1" applyFill="1" applyBorder="1" applyAlignment="1">
      <x:alignment horizontal="right" vertical="center"/>
    </x:xf>
    <x:xf numFmtId="0" fontId="4" fillId="3" borderId="0" xfId="0" applyNumberFormat="1" applyFont="1" applyFill="1" applyBorder="1" applyAlignment="1">
      <x:alignment horizontal="right" vertical="center"/>
    </x:xf>
    <x:xf numFmtId="201" fontId="7" fillId="3" borderId="4" xfId="0" applyNumberFormat="1" applyFont="1" applyFill="1" applyBorder="1" applyAlignment="1">
      <x:alignment horizontal="right" vertical="center"/>
    </x:xf>
    <x:xf numFmtId="201" fontId="7" fillId="3" borderId="5" xfId="0" applyNumberFormat="1" applyFont="1" applyFill="1" applyBorder="1" applyAlignment="1">
      <x:alignment horizontal="right" vertical="center"/>
    </x:xf>
    <x:xf numFmtId="201" fontId="7" fillId="0" borderId="4" xfId="0" applyNumberFormat="1" applyFont="1" applyFill="1" applyBorder="1" applyAlignment="1">
      <x:alignment horizontal="right" vertical="center"/>
    </x:xf>
    <x:xf numFmtId="201" fontId="7" fillId="0" borderId="5" xfId="0" applyNumberFormat="1" applyFont="1" applyFill="1" applyBorder="1" applyAlignment="1">
      <x:alignment horizontal="right" vertical="center"/>
    </x:xf>
    <x:xf numFmtId="201" fontId="7" fillId="0" borderId="6" xfId="0" applyNumberFormat="1" applyFont="1" applyFill="1" applyBorder="1" applyAlignment="1">
      <x:alignment horizontal="right" vertical="center"/>
    </x:xf>
    <x:xf numFmtId="201" fontId="7" fillId="0" borderId="8" xfId="0" applyNumberFormat="1" applyFont="1" applyFill="1" applyBorder="1" applyAlignment="1">
      <x:alignment horizontal="right" vertical="center"/>
    </x:xf>
    <x:xf numFmtId="0" fontId="8" fillId="3" borderId="1" xfId="0" applyNumberFormat="1" applyFont="1" applyFill="1" applyBorder="1" applyAlignment="1">
      <x:alignment vertical="center" wrapText="1"/>
    </x:xf>
    <x:xf numFmtId="0" fontId="8" fillId="3" borderId="2" xfId="0" applyNumberFormat="1" applyFont="1" applyFill="1" applyBorder="1" applyAlignment="1">
      <x:alignment vertical="center" wrapText="1"/>
    </x:xf>
    <x:xf numFmtId="0" fontId="8" fillId="3" borderId="3" xfId="0" applyNumberFormat="1" applyFont="1" applyFill="1" applyBorder="1" applyAlignment="1">
      <x:alignment vertical="center" wrapText="1"/>
    </x:xf>
    <x:xf numFmtId="0" fontId="8" fillId="3" borderId="4" xfId="0" applyNumberFormat="1" applyFont="1" applyFill="1" applyBorder="1" applyAlignment="1">
      <x:alignment vertical="center" wrapText="1"/>
    </x:xf>
    <x:xf numFmtId="0" fontId="8" fillId="3" borderId="0" xfId="0" applyNumberFormat="1" applyFont="1" applyFill="1" applyBorder="1" applyAlignment="1">
      <x:alignment vertical="center" wrapText="1"/>
    </x:xf>
    <x:xf numFmtId="0" fontId="8" fillId="3" borderId="5" xfId="0" applyNumberFormat="1" applyFont="1" applyFill="1" applyBorder="1" applyAlignment="1">
      <x:alignment vertical="center" wrapText="1"/>
    </x:xf>
    <x:xf numFmtId="0" fontId="8" fillId="3" borderId="6" xfId="0" applyNumberFormat="1" applyFont="1" applyFill="1" applyBorder="1" applyAlignment="1">
      <x:alignment vertical="center" wrapText="1"/>
    </x:xf>
    <x:xf numFmtId="0" fontId="8" fillId="3" borderId="7" xfId="0" applyNumberFormat="1" applyFont="1" applyFill="1" applyBorder="1" applyAlignment="1">
      <x:alignment vertical="center" wrapText="1"/>
    </x:xf>
    <x:xf numFmtId="0" fontId="8" fillId="3" borderId="8" xfId="0" applyNumberFormat="1" applyFont="1" applyFill="1" applyBorder="1" applyAlignment="1">
      <x:alignment vertical="center" wrapText="1"/>
    </x:xf>
    <x:xf numFmtId="0" fontId="10" fillId="0" borderId="0" xfId="0" applyNumberFormat="1" applyFont="1" applyFill="1" applyBorder="1" applyAlignment="1">
      <x:alignment horizontal="center" vertical="center"/>
    </x:xf>
    <x:xf numFmtId="0" fontId="11" fillId="2" borderId="0" xfId="0" applyNumberFormat="1" applyFont="1" applyFill="1" applyBorder="1" applyAlignment="1">
      <x:alignment horizontal="center" vertical="center"/>
    </x:xf>
    <x:xf numFmtId="0" fontId="12" fillId="0" borderId="0" xfId="0" applyNumberFormat="1" applyFont="1" applyFill="1" applyBorder="1" applyAlignment="1">
      <x:alignment vertical="center"/>
    </x:xf>
    <x:xf numFmtId="0" fontId="12" fillId="3" borderId="0" xfId="0" applyNumberFormat="1" applyFont="1" applyFill="1" applyBorder="1" applyAlignment="1">
      <x:alignment vertical="center"/>
    </x:xf>
    <x:xf numFmtId="200" fontId="12" fillId="3" borderId="0" xfId="0" applyNumberFormat="1" applyFont="1" applyFill="1" applyBorder="1" applyAlignment="1">
      <x:alignment vertical="center"/>
    </x:xf>
    <x:xf numFmtId="0" fontId="12" fillId="4" borderId="0" xfId="0" applyNumberFormat="1" applyFont="1" applyFill="1" applyBorder="1" applyAlignment="1">
      <x:alignment vertical="center"/>
    </x:xf>
    <x:xf numFmtId="0" fontId="13" fillId="2" borderId="0" xfId="0" applyNumberFormat="1" applyFont="1" applyFill="1" applyBorder="1"/>
    <x:xf numFmtId="0" fontId="5" fillId="5" borderId="0" xfId="0" applyNumberFormat="1" applyFont="1" applyFill="1" applyBorder="1" applyAlignment="1">
      <x:alignment horizontal="center"/>
    </x:xf>
    <x:xf numFmtId="202" fontId="6" fillId="3" borderId="9" xfId="0" applyNumberFormat="1" applyFont="1" applyFill="1" applyBorder="1" applyAlignment="1">
      <x:alignment vertical="center" wrapText="1"/>
    </x:xf>
    <x:xf numFmtId="0" fontId="14" fillId="4" borderId="0" xfId="0" applyNumberFormat="1" applyFont="1" applyFill="1" applyBorder="1"/>
    <x:xf numFmtId="0" fontId="14" fillId="4" borderId="0" xfId="0" applyNumberFormat="1" applyFont="1" applyFill="1" applyBorder="1" applyAlignment="1">
      <x:alignment wrapText="1"/>
    </x:xf>
    <x:xf numFmtId="0" fontId="14"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e35eba4f99490a" /><Relationship Type="http://schemas.openxmlformats.org/officeDocument/2006/relationships/theme" Target="/xl/theme/theme1.xml" Id="Rac577b4b8b144888" /><Relationship Type="http://schemas.openxmlformats.org/officeDocument/2006/relationships/sharedStrings" Target="/xl/sharedStrings.xml" Id="R45e9387c102b4607" /><Relationship Type="http://schemas.openxmlformats.org/officeDocument/2006/relationships/worksheet" Target="/xl/worksheets/sheet1.xml" Id="Rc2822acef5d644ae" /><Relationship Type="http://schemas.openxmlformats.org/officeDocument/2006/relationships/worksheet" Target="/xl/worksheets/sheet2.xml" Id="R4f44c01e163c402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B8543E"/>
  </sheetPr>
  <sheetViews>
    <sheetView showGridLines="0" workbookViewId="0"/>
  </sheetViews>
  <sheetFormatPr defaultRowHeight="15"/>
  <cols>
    <col min="1" max="1" width="16" hidden="0" customWidth="1"/>
    <col min="2" max="2" width="18" hidden="0" customWidth="1"/>
    <col min="3" max="3" width="12" hidden="0" customWidth="1"/>
    <col min="4" max="4" width="11" hidden="0" customWidth="1"/>
    <col min="5" max="5" width="19" hidden="0" customWidth="1"/>
    <col min="6" max="6" width="14" hidden="0" customWidth="1"/>
    <col min="7" max="7" width="16" hidden="0" customWidth="1"/>
    <col min="8" max="8" width="13" hidden="0" customWidth="1"/>
  </cols>
  <sheetData>
    <row r="1" ht="30" customHeight="1">
      <c r="A1" s="4" t="str">
        <v>EMACTIVA  |  LEADFLOW</v>
      </c>
      <c r="B1" s="4"/>
      <c r="C1" s="4"/>
      <c r="D1" s="4"/>
      <c r="E1" s="4"/>
      <c r="F1" s="4"/>
      <c r="G1" s="4"/>
      <c r="H1" s="4"/>
    </row>
    <row r="2" ht="28" customHeight="1">
      <c r="A2" s="7" t="str">
        <v>COTIZACIÓN</v>
      </c>
      <c r="B2" s="7"/>
      <c r="C2" s="7"/>
      <c r="D2" s="7"/>
      <c r="E2" s="7"/>
      <c r="F2" s="7"/>
      <c r="G2" s="7"/>
      <c r="H2" s="7"/>
    </row>
    <row r="3">
      <c r="A3" s="119" t="str">
        <v>Ideas que avanzan contigo</v>
      </c>
      <c r="B3" s="119"/>
      <c r="C3" s="119"/>
      <c r="D3" s="119"/>
      <c r="E3" s="119"/>
      <c r="F3" s="119"/>
      <c r="G3" s="119"/>
      <c r="H3" s="119"/>
    </row>
    <row r="4">
      <c r="A4" s="155"/>
      <c r="B4" s="155"/>
      <c r="C4" s="155"/>
      <c r="D4" s="155"/>
      <c r="E4" s="155"/>
      <c r="F4" s="155"/>
      <c r="G4" s="155"/>
      <c r="H4" s="155"/>
    </row>
    <row r="5">
      <c r="A5" s="121" t="str">
        <v>N.º cotización</v>
      </c>
      <c r="B5" s="156" t="str">
        <v>[EDITAR]</v>
      </c>
      <c r="C5" s="155"/>
      <c r="D5" s="155"/>
      <c r="E5" s="121" t="str">
        <v>Identificación necesaria</v>
      </c>
      <c r="F5" s="156" t="str">
        <v>[EDITAR]</v>
      </c>
      <c r="G5" s="155"/>
      <c r="H5" s="155"/>
    </row>
    <row r="6">
      <c r="A6" s="121" t="str">
        <v>Fecha</v>
      </c>
      <c r="B6" s="157" t="str"/>
      <c r="C6" s="155"/>
      <c r="D6" s="155"/>
      <c r="E6" s="121" t="str">
        <v>Producto / servicio</v>
      </c>
      <c r="F6" s="156" t="str">
        <v>LeadFlow</v>
      </c>
      <c r="G6" s="155"/>
      <c r="H6" s="155"/>
    </row>
    <row r="7">
      <c r="A7" s="121" t="str">
        <v>Vigencia / vencimiento</v>
      </c>
      <c r="B7" s="157" t="str"/>
      <c r="C7" s="155"/>
      <c r="D7" s="155"/>
      <c r="E7" s="121" t="str">
        <v>Modalidad</v>
      </c>
      <c r="F7" s="156" t="str">
        <v>A — Entrega técnica</v>
      </c>
      <c r="G7" s="155"/>
      <c r="H7" s="155"/>
    </row>
    <row r="8">
      <c r="A8" s="121" t="str">
        <v>Organización cliente</v>
      </c>
      <c r="B8" s="156" t="str">
        <v>[EDITAR]</v>
      </c>
      <c r="C8" s="155"/>
      <c r="D8" s="155"/>
      <c r="E8" s="121" t="str">
        <v>Plazo</v>
      </c>
      <c r="F8" s="158" t="str">
        <f>IF(F7="A — Entrega técnica",CONFIGURACIÓN!$B$12,CONFIGURACIÓN!$B$13)</f>
        <v>1 día hábil desde requisitos verificados</v>
      </c>
      <c r="G8" s="155"/>
      <c r="H8" s="155"/>
    </row>
    <row r="9">
      <c r="A9" s="155"/>
      <c r="B9" s="155"/>
      <c r="C9" s="155"/>
      <c r="D9" s="155"/>
      <c r="E9" s="155"/>
      <c r="F9" s="155"/>
      <c r="G9" s="155"/>
      <c r="H9" s="155"/>
    </row>
    <row r="10" ht="21" customHeight="1">
      <c r="A10" s="16" t="str">
        <v>ALCANCE ACORDADO</v>
      </c>
      <c r="B10" s="16"/>
      <c r="C10" s="16"/>
      <c r="D10" s="16"/>
      <c r="E10" s="16"/>
      <c r="F10" s="16"/>
      <c r="G10" s="16"/>
      <c r="H10" s="16"/>
    </row>
    <row r="11" ht="22" customHeight="1">
      <c r="A11" s="125" t="str">
        <v>[Describir fuente compatible, integración HubSpot validada, configuración, entregables y criterios de aceptación.]</v>
      </c>
      <c r="B11" s="126"/>
      <c r="C11" s="126"/>
      <c r="D11" s="126"/>
      <c r="E11" s="126"/>
      <c r="F11" s="126"/>
      <c r="G11" s="126"/>
      <c r="H11" s="127"/>
    </row>
    <row r="12" ht="22" customHeight="1">
      <c r="A12" s="128"/>
      <c r="B12" s="129"/>
      <c r="C12" s="129"/>
      <c r="D12" s="129"/>
      <c r="E12" s="129"/>
      <c r="F12" s="129"/>
      <c r="G12" s="129"/>
      <c r="H12" s="130"/>
    </row>
    <row r="13" ht="22" customHeight="1">
      <c r="A13" s="131"/>
      <c r="B13" s="132"/>
      <c r="C13" s="132"/>
      <c r="D13" s="132"/>
      <c r="E13" s="132"/>
      <c r="F13" s="132"/>
      <c r="G13" s="132"/>
      <c r="H13" s="133"/>
    </row>
    <row r="14">
      <c r="A14" s="155"/>
      <c r="B14" s="155"/>
      <c r="C14" s="155"/>
      <c r="D14" s="155"/>
      <c r="E14" s="155"/>
      <c r="F14" s="155"/>
      <c r="G14" s="155"/>
      <c r="H14" s="155"/>
    </row>
    <row r="15" ht="25" customHeight="1">
      <c r="A15" s="46" t="str">
        <v>Concepto</v>
      </c>
      <c r="B15" s="46" t="str">
        <v>Descripción</v>
      </c>
      <c r="C15" s="46" t="str"/>
      <c r="D15" s="46" t="str">
        <v>Cantidad</v>
      </c>
      <c r="E15" s="46" t="str">
        <v>Precio unitario neto</v>
      </c>
      <c r="F15" s="46" t="str"/>
      <c r="G15" s="46" t="str">
        <v>Total neto</v>
      </c>
      <c r="H15" s="46" t="str"/>
    </row>
    <row r="16" ht="27" customHeight="1">
      <c r="A16" s="55" t="str">
        <v>LeadFlow</v>
      </c>
      <c r="B16" s="56" t="str">
        <f>IF($F$7="A — Entrega técnica","Entrega técnica documentada","Implementación acordada por Emactiva")</f>
        <v>Entrega técnica documentada</v>
      </c>
      <c r="C16" s="56"/>
      <c r="D16" s="55" t="n">
        <v>1</v>
      </c>
      <c r="E16" s="58" t="n">
        <f>IF($F$7="A — Entrega técnica",CONFIGURACIÓN!$B$5,CONFIGURACIÓN!$B$6)</f>
        <v>400000</v>
      </c>
      <c r="F16" s="58"/>
      <c r="G16" s="59" t="n">
        <f>D16*E16</f>
        <v>400000</v>
      </c>
      <c r="H16" s="59"/>
    </row>
    <row r="17" ht="27" customHeight="1">
      <c r="A17" s="55" t="str">
        <v>[Opcional]</v>
      </c>
      <c r="B17" s="55" t="str">
        <v>[Concepto adicional acordado]</v>
      </c>
      <c r="C17" s="55"/>
      <c r="D17" s="55" t="n">
        <v>0</v>
      </c>
      <c r="E17" s="58" t="n">
        <v>0</v>
      </c>
      <c r="F17" s="58"/>
      <c r="G17" s="59" t="n">
        <f>D17*E17</f>
        <v>0</v>
      </c>
      <c r="H17" s="59"/>
    </row>
    <row r="18">
      <c r="A18" s="155"/>
      <c r="B18" s="155"/>
      <c r="C18" s="155"/>
      <c r="D18" s="155"/>
      <c r="E18" s="155"/>
      <c r="F18" s="155"/>
      <c r="G18" s="155"/>
      <c r="H18" s="155"/>
    </row>
    <row r="19">
      <c r="A19" s="155"/>
      <c r="B19" s="155"/>
      <c r="C19" s="155"/>
      <c r="D19" s="155"/>
      <c r="E19" s="134" t="str">
        <v>Subtotal neto</v>
      </c>
      <c r="F19" s="134" t="str"/>
      <c r="G19" s="135" t="n">
        <f>SUM(G16:G17)</f>
        <v>400000</v>
      </c>
      <c r="H19" s="136"/>
    </row>
    <row r="20">
      <c r="A20" s="155"/>
      <c r="B20" s="155"/>
      <c r="C20" s="155"/>
      <c r="D20" s="155"/>
      <c r="E20" s="137" t="str">
        <v>Impuesto configurable</v>
      </c>
      <c r="F20" s="137" t="str"/>
      <c r="G20" s="138" t="n">
        <f>G19*CONFIGURACIÓN!$B$8</f>
        <v>0</v>
      </c>
      <c r="H20" s="139"/>
    </row>
    <row r="21">
      <c r="A21" s="155"/>
      <c r="B21" s="155"/>
      <c r="C21" s="155"/>
      <c r="D21" s="155"/>
      <c r="E21" s="134" t="str">
        <v>Total</v>
      </c>
      <c r="F21" s="134" t="str"/>
      <c r="G21" s="140" t="n">
        <f>G19+G20</f>
        <v>400000</v>
      </c>
      <c r="H21" s="141"/>
    </row>
    <row r="22">
      <c r="A22" s="155"/>
      <c r="B22" s="155"/>
      <c r="C22" s="155"/>
      <c r="D22" s="155"/>
      <c r="E22" s="134" t="str">
        <v>Anticipo</v>
      </c>
      <c r="F22" s="134" t="str"/>
      <c r="G22" s="140" t="n">
        <f>G21*CONFIGURACIÓN!$B$7</f>
        <v>200000</v>
      </c>
      <c r="H22" s="141"/>
    </row>
    <row r="23">
      <c r="A23" s="155"/>
      <c r="B23" s="155"/>
      <c r="C23" s="155"/>
      <c r="D23" s="155"/>
      <c r="E23" s="134" t="str">
        <v>Saldo</v>
      </c>
      <c r="F23" s="134" t="str"/>
      <c r="G23" s="142" t="n">
        <f>G21-G22</f>
        <v>200000</v>
      </c>
      <c r="H23" s="143"/>
    </row>
    <row r="24">
      <c r="A24" s="155"/>
      <c r="B24" s="155"/>
      <c r="C24" s="155"/>
      <c r="D24" s="155"/>
      <c r="E24" s="155"/>
      <c r="F24" s="155"/>
      <c r="G24" s="155"/>
      <c r="H24" s="155"/>
    </row>
    <row r="25" ht="21" customHeight="1">
      <c r="A25" s="16" t="str">
        <v>CONDICIONES PARTICULARES Y OBSERVACIONES</v>
      </c>
      <c r="B25" s="16"/>
      <c r="C25" s="16"/>
      <c r="D25" s="16"/>
      <c r="E25" s="16"/>
      <c r="F25" s="16"/>
      <c r="G25" s="16"/>
      <c r="H25" s="16"/>
    </row>
    <row r="26" ht="21" customHeight="1">
      <c r="A26" s="144" t="str">
        <v>[Completar condiciones particulares. Pago base: 50 % anticipo y 50 % contra entrega conforme. Observaciones: 3 días hábiles. Cambios fuera de alcance se cotizan aparte.]</v>
      </c>
      <c r="B26" s="145"/>
      <c r="C26" s="145"/>
      <c r="D26" s="145"/>
      <c r="E26" s="145"/>
      <c r="F26" s="145"/>
      <c r="G26" s="145"/>
      <c r="H26" s="146"/>
    </row>
    <row r="27" ht="21" customHeight="1">
      <c r="A27" s="147"/>
      <c r="B27" s="148"/>
      <c r="C27" s="148"/>
      <c r="D27" s="148"/>
      <c r="E27" s="148"/>
      <c r="F27" s="148"/>
      <c r="G27" s="148"/>
      <c r="H27" s="149"/>
    </row>
    <row r="28" ht="21" customHeight="1">
      <c r="A28" s="150"/>
      <c r="B28" s="151"/>
      <c r="C28" s="151"/>
      <c r="D28" s="151"/>
      <c r="E28" s="151"/>
      <c r="F28" s="151"/>
      <c r="G28" s="151"/>
      <c r="H28" s="152"/>
    </row>
    <row r="29">
      <c r="A29" s="155"/>
      <c r="B29" s="155"/>
      <c r="C29" s="155"/>
      <c r="D29" s="155"/>
      <c r="E29" s="155"/>
      <c r="F29" s="155"/>
      <c r="G29" s="155"/>
      <c r="H29" s="155"/>
    </row>
    <row r="30" ht="31" customHeight="1">
      <c r="A30" s="114" t="str">
        <v>Impuesto pendiente de validación. No usar el total tributario como definitivo hasta confirmar el tratamiento aplicable. Costos externos, licencias y suscripciones son de cargo del cliente salvo acuerdo específico.</v>
      </c>
      <c r="B30" s="114"/>
      <c r="C30" s="114"/>
      <c r="D30" s="114"/>
      <c r="E30" s="114"/>
      <c r="F30" s="114"/>
      <c r="G30" s="114"/>
      <c r="H30" s="114"/>
    </row>
    <row r="31">
      <c r="A31" s="155"/>
      <c r="B31" s="155"/>
      <c r="C31" s="155"/>
      <c r="D31" s="155"/>
      <c r="E31" s="155"/>
      <c r="F31" s="155"/>
      <c r="G31" s="155"/>
      <c r="H31" s="155"/>
    </row>
    <row r="32">
      <c r="A32" s="153" t="str">
        <v>Sin mantenimiento mensual ni soporte 24/7 incluidos. Derechos de uso sujetos a revisión jurídica y de licencias.</v>
      </c>
      <c r="B32" s="153"/>
      <c r="C32" s="153"/>
      <c r="D32" s="153"/>
      <c r="E32" s="153"/>
      <c r="F32" s="153"/>
      <c r="G32" s="153"/>
      <c r="H32" s="153"/>
    </row>
    <row r="33">
      <c r="A33" s="155"/>
      <c r="B33" s="155"/>
      <c r="C33" s="155"/>
      <c r="D33" s="155"/>
      <c r="E33" s="155"/>
      <c r="F33" s="155"/>
      <c r="G33" s="155"/>
      <c r="H33" s="155"/>
    </row>
    <row r="34" ht="20" customHeight="1">
      <c r="A34" s="154" t="str">
        <v>EMACTIVA  |  Ideas que avanzan contigo  |  Cotización LeadFlow</v>
      </c>
      <c r="B34" s="154"/>
      <c r="C34" s="154"/>
      <c r="D34" s="154"/>
      <c r="E34" s="154"/>
      <c r="F34" s="154"/>
      <c r="G34" s="154"/>
      <c r="H34" s="154"/>
    </row>
  </sheetData>
  <mergeCells>
    <mergeCell ref="A1:H1"/>
    <mergeCell ref="A2:H2"/>
    <mergeCell ref="A3:H3"/>
    <mergeCell ref="A10:H10"/>
    <mergeCell ref="A11:H13"/>
    <mergeCell ref="B15:C15"/>
    <mergeCell ref="E15:F15"/>
    <mergeCell ref="G15:H15"/>
    <mergeCell ref="B16:C16"/>
    <mergeCell ref="E16:F16"/>
    <mergeCell ref="G16:H16"/>
    <mergeCell ref="B17:C17"/>
    <mergeCell ref="E17:F17"/>
    <mergeCell ref="G17:H17"/>
    <mergeCell ref="G19:H19"/>
    <mergeCell ref="G20:H20"/>
    <mergeCell ref="G21:H21"/>
    <mergeCell ref="G22:H22"/>
    <mergeCell ref="G23:H23"/>
    <mergeCell ref="A25:H25"/>
    <mergeCell ref="A26:H28"/>
    <mergeCell ref="A30:H30"/>
    <mergeCell ref="A32:H32"/>
    <mergeCell ref="A34:H34"/>
  </mergeCells>
  <dataValidations count="1">
    <dataValidation type="list" sqref="F7">
      <formula1>"A — Entrega técnica,B — Implementado por Emactiva"</formula1>
    </dataValidation>
  </dataValidations>
  <pageMargins left="0.3" right="0.3" top="0.35" bottom="0.45" header="0.1" footer="0.2"/>
  <pageSetup paperSize="9" orientation="portrait" fitToWidth="1" fitToHeight="1"/>
  <headerFooter>
    <oddHeader>&amp;LEMACTIVA - LeadFlow&amp;RCotización</oddHeader>
    <oddFooter>&amp;CIdeas que avanzan contigo</oddFooter>
  </headerFooter>
</worksheet>
</file>

<file path=xl/worksheets/sheet2.xml><?xml version="1.0" encoding="utf-8"?>
<x:worksheet xmlns:x="http://schemas.openxmlformats.org/spreadsheetml/2006/main">
  <x:sheetPr>
    <x:tabColor rgb="FFC99A8C"/>
  </x:sheetPr>
  <x:sheetViews>
    <x:sheetView showGridLines="0" workbookViewId="0">
      <x:pane ySplit="3" topLeftCell="A4" activePane="bottomLeft" state="frozen"/>
    </x:sheetView>
  </x:sheetViews>
  <x:sheetFormatPr defaultRowHeight="15"/>
  <x:cols>
    <x:col min="1" max="1" width="27" hidden="0" customWidth="1"/>
    <x:col min="2" max="2" width="44" hidden="0" customWidth="1"/>
    <x:col min="3" max="3" width="29" hidden="0" customWidth="1"/>
  </x:cols>
  <x:sheetData>
    <x:row r="1" ht="28" customHeight="1">
      <x:c r="A1" s="159" t="str">
        <x:v>CONFIGURACIÓN DE COTIZACIÓN</x:v>
      </x:c>
      <x:c r="B1" s="159"/>
      <x:c r="C1" s="159"/>
      <x:c r="D1" s="159"/>
    </x:row>
    <x:row r="3" ht="24" customHeight="1">
      <x:c r="A3" s="160" t="str">
        <x:v>Parámetro</x:v>
      </x:c>
      <x:c r="B3" s="160" t="str">
        <x:v>Valor editable</x:v>
      </x:c>
      <x:c r="C3" s="160" t="str">
        <x:v>Estado / instrucción</x:v>
      </x:c>
    </x:row>
    <x:row r="4" ht="30" customHeight="1">
      <x:c r="A4" s="57" t="str">
        <x:v>Marca</x:v>
      </x:c>
      <x:c r="B4" s="55" t="str">
        <x:v>Emactiva</x:v>
      </x:c>
      <x:c r="C4" s="57" t="str">
        <x:v>Editable</x:v>
      </x:c>
    </x:row>
    <x:row r="5" ht="30" customHeight="1">
      <x:c r="A5" s="57" t="str">
        <x:v>Precio base A</x:v>
      </x:c>
      <x:c r="B5" s="58" t="n">
        <x:v>400000</x:v>
      </x:c>
      <x:c r="C5" s="57" t="str">
        <x:v>Aprobado</x:v>
      </x:c>
    </x:row>
    <x:row r="6" ht="30" customHeight="1">
      <x:c r="A6" s="57" t="str">
        <x:v>Precio base B</x:v>
      </x:c>
      <x:c r="B6" s="58" t="n">
        <x:v>1200000</x:v>
      </x:c>
      <x:c r="C6" s="57" t="str">
        <x:v>Aprobado</x:v>
      </x:c>
    </x:row>
    <x:row r="7" ht="30" customHeight="1">
      <x:c r="A7" s="57" t="str">
        <x:v>Porcentaje de anticipo</x:v>
      </x:c>
      <x:c r="B7" s="161" t="n">
        <x:v>0.5</x:v>
      </x:c>
      <x:c r="C7" s="57" t="str">
        <x:v>Aprobado</x:v>
      </x:c>
    </x:row>
    <x:row r="8" ht="30" customHeight="1">
      <x:c r="A8" s="57" t="str">
        <x:v>Tasa de impuesto</x:v>
      </x:c>
      <x:c r="B8" s="161" t="n">
        <x:v>0</x:v>
      </x:c>
      <x:c r="C8" s="57" t="str">
        <x:v>PENDIENTE DE VALIDACIÓN</x:v>
      </x:c>
    </x:row>
    <x:row r="9" ht="30" customHeight="1">
      <x:c r="A9" s="57" t="str">
        <x:v>Razón social / emisor</x:v>
      </x:c>
      <x:c r="B9" s="55" t="str">
        <x:v>[EDITAR]</x:v>
      </x:c>
      <x:c r="C9" s="57" t="str">
        <x:v>No inventar</x:v>
      </x:c>
    </x:row>
    <x:row r="10" ht="30" customHeight="1">
      <x:c r="A10" s="57" t="str">
        <x:v>Identificación tributaria</x:v>
      </x:c>
      <x:c r="B10" s="55" t="str">
        <x:v>[EDITAR]</x:v>
      </x:c>
      <x:c r="C10" s="57" t="str">
        <x:v>Completar sólo tras verificar</x:v>
      </x:c>
    </x:row>
    <x:row r="11" ht="30" customHeight="1">
      <x:c r="A11" s="57" t="str">
        <x:v>Datos de contacto</x:v>
      </x:c>
      <x:c r="B11" s="55" t="str">
        <x:v>[EDITAR]</x:v>
      </x:c>
      <x:c r="C11" s="57" t="str">
        <x:v>Sin PII innecesaria</x:v>
      </x:c>
    </x:row>
    <x:row r="12" ht="30" customHeight="1">
      <x:c r="A12" s="57" t="str">
        <x:v>Plazo modalidad A</x:v>
      </x:c>
      <x:c r="B12" s="55" t="str">
        <x:v>1 día hábil desde requisitos verificados</x:v>
      </x:c>
      <x:c r="C12" s="57" t="str">
        <x:v>Aprobado</x:v>
      </x:c>
    </x:row>
    <x:row r="13" ht="30" customHeight="1">
      <x:c r="A13" s="57" t="str">
        <x:v>Plazo modalidad B</x:v>
      </x:c>
      <x:c r="B13" s="55" t="str">
        <x:v>5 días hábiles desde requisitos y preflight aprobado</x:v>
      </x:c>
      <x:c r="C13" s="57" t="str">
        <x:v>Aprobado</x:v>
      </x:c>
    </x:row>
    <x:row r="15" ht="22" customHeight="1">
      <x:c r="A15" s="15" t="str">
        <x:v>CONDICIONES COMERCIALES BASE</x:v>
      </x:c>
      <x:c r="B15" s="15"/>
      <x:c r="C15" s="15"/>
    </x:row>
    <x:row r="16" ht="32" customHeight="1">
      <x:c r="A16" s="57" t="str">
        <x:v>Pago</x:v>
      </x:c>
      <x:c r="B16" s="57" t="str">
        <x:v>50 % anticipo y 50 % contra entrega conforme</x:v>
      </x:c>
      <x:c r="C16" s="57" t="str">
        <x:v>Aprobado</x:v>
      </x:c>
    </x:row>
    <x:row r="17" ht="32" customHeight="1">
      <x:c r="A17" s="57" t="str">
        <x:v>Observaciones</x:v>
      </x:c>
      <x:c r="B17" s="57" t="str">
        <x:v>3 días hábiles para incumplimientos concretos</x:v>
      </x:c>
      <x:c r="C17" s="57" t="str">
        <x:v>Aprobado</x:v>
      </x:c>
    </x:row>
    <x:row r="18" ht="32" customHeight="1">
      <x:c r="A18" s="57" t="str">
        <x:v>CRM</x:v>
      </x:c>
      <x:c r="B18" s="57" t="str">
        <x:v>HubSpot dentro del alcance validado; otros sujetos a evaluación</x:v>
      </x:c>
      <x:c r="C18" s="57" t="str">
        <x:v>Aprobado</x:v>
      </x:c>
    </x:row>
    <x:row r="19" ht="32" customHeight="1">
      <x:c r="A19" s="57" t="str">
        <x:v>Terceros</x:v>
      </x:c>
      <x:c r="B19" s="57" t="str">
        <x:v>Costos externos, licencias y suscripciones a cargo del cliente</x:v>
      </x:c>
      <x:c r="C19" s="57" t="str">
        <x:v>Aprobado</x:v>
      </x:c>
    </x:row>
    <x:row r="20" ht="32" customHeight="1">
      <x:c r="A20" s="57" t="str">
        <x:v>Soporte</x:v>
      </x:c>
      <x:c r="B20" s="57" t="str">
        <x:v>Inicial según modalidad; sin 24/7 ni mantenimiento mensual</x:v>
      </x:c>
      <x:c r="C20" s="57" t="str">
        <x:v>Aprobado</x:v>
      </x:c>
    </x:row>
    <x:row r="21" ht="32" customHeight="1">
      <x:c r="A21" s="57" t="str">
        <x:v>Derechos de uso</x:v>
      </x:c>
      <x:c r="B21" s="57" t="str">
        <x:v>Condicionados a revisión jurídica y de licencias</x:v>
      </x:c>
      <x:c r="C21" s="57" t="str">
        <x:v>Pendiente de verificación</x:v>
      </x:c>
    </x:row>
    <x:row r="23">
      <x:c r="A23" s="164" t="str">
        <x:v>Los precios base alimentan la cotización. El precio unitario de la hoja COTIZACIÓN puede reemplazarse expresamente para una propuesta específica sin modificar estos precios base. La tasa de impuesto debe configurarse sólo después de validación tributaria.</x:v>
      </x:c>
      <x:c r="B23" s="164"/>
      <x:c r="C23" s="164"/>
    </x:row>
    <x:row r="24">
      <x:c r="A24" s="164"/>
      <x:c r="B24" s="164"/>
      <x:c r="C24" s="164"/>
    </x:row>
  </x:sheetData>
  <x:mergeCells>
    <x:mergeCell ref="A1:D1"/>
    <x:mergeCell ref="A15:C15"/>
    <x:mergeCell ref="A23:C24"/>
  </x:mergeCells>
  <x:pageMargins left="0.7" right="0.7" top="0.75" bottom="0.75" header="0.3" footer="0.3"/>
</x:worksheet>
</file>