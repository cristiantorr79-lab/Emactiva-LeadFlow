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5ca36914974d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ación" sheetId="1" r:id="R0e0ae311b1374f3b"/>
    <x:sheet xmlns:r="http://schemas.openxmlformats.org/officeDocument/2006/relationships" name="Costos internos" sheetId="2" r:id="Rda7878098baf43cc"/>
    <x:sheet xmlns:r="http://schemas.openxmlformats.org/officeDocument/2006/relationships" name="Alcance y roles" sheetId="3" r:id="Rd27bec49666c4ad3"/>
    <x:sheet xmlns:r="http://schemas.openxmlformats.org/officeDocument/2006/relationships" name="Restricciones" sheetId="4" r:id="R9c66dd392b554d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;[Red]($#,##0);-"/>
    <x:numFmt numFmtId="201" formatCode="0.0"/>
    <x:numFmt numFmtId="202" formatCode="0%"/>
    <x:numFmt numFmtId="203" formatCode="$#,##0.00;[Red]($#,##0.00);-"/>
  </x:numFmts>
  <x:fonts count="8">
    <x:font>
      <x:sz val="11"/>
      <x:name val="Carlito"/>
    </x:font>
    <x:font>
      <x:b/>
      <x:sz val="15"/>
      <x:color rgb="FF1F4E78"/>
      <x:name val="Arial"/>
    </x:font>
    <x:font>
      <x:i/>
      <x:sz val="9"/>
      <x:color rgb="FF666666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b/>
      <x:sz val="10"/>
      <x:color rgb="FF1F1F1F"/>
      <x:name val="Arial"/>
    </x:font>
    <x:font>
      <x:b/>
      <x:sz val="10"/>
      <x:color rgb="FF9C5700"/>
      <x:name val="Arial"/>
    </x:font>
    <x:font>
      <x:b/>
      <x:sz val="10"/>
      <x:color rgb="FF37562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FFFFFF"/>
      </x:bottom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200" fontId="4" fillId="3" borderId="0" xfId="0" applyNumberFormat="1" applyFont="1" applyFill="1" applyBorder="1" applyAlignment="1">
      <x:alignment vertical="top"/>
    </x:xf>
    <x:xf numFmtId="201" fontId="4" fillId="3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201" fontId="4" fillId="3" borderId="0" xfId="0" applyNumberFormat="1" applyFont="1" applyFill="1" applyBorder="1" applyAlignment="1">
      <x:alignment vertical="top" wrapText="1"/>
    </x:xf>
    <x:xf numFmtId="200" fontId="4" fillId="3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vertical="top"/>
    </x:xf>
    <x:xf numFmtId="200" fontId="4" fillId="4" borderId="0" xfId="0" applyNumberFormat="1" applyFont="1" applyFill="1" applyBorder="1" applyAlignment="1">
      <x:alignment vertical="top"/>
    </x:xf>
    <x:xf numFmtId="202" fontId="4" fillId="4" borderId="0" xfId="0" applyNumberFormat="1" applyFont="1" applyFill="1" applyBorder="1" applyAlignment="1">
      <x:alignment vertical="top"/>
    </x:xf>
    <x:xf numFmtId="203" fontId="4" fillId="4" borderId="0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  <x:xf numFmtId="200" fontId="5" fillId="4" borderId="0" xfId="0" applyNumberFormat="1" applyFont="1" applyFill="1" applyBorder="1" applyAlignment="1">
      <x:alignment vertical="top"/>
    </x:xf>
    <x:xf numFmtId="203" fontId="5" fillId="4" borderId="0" xfId="0" applyNumberFormat="1" applyFont="1" applyFill="1" applyBorder="1" applyAlignment="1">
      <x:alignment vertical="top"/>
    </x:xf>
    <x:xf numFmtId="200" fontId="4" fillId="4" borderId="0" xfId="0" applyNumberFormat="1" applyFont="1" applyFill="1" applyBorder="1" applyAlignment="1">
      <x:alignment vertical="top" wrapText="1"/>
    </x:xf>
    <x:xf numFmtId="202" fontId="4" fillId="4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200" fontId="5" fillId="4" borderId="0" xfId="0" applyNumberFormat="1" applyFont="1" applyFill="1" applyBorder="1" applyAlignment="1">
      <x:alignment vertical="top" wrapText="1"/>
    </x:xf>
    <x:xf numFmtId="203" fontId="5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/>
    </x:xf>
    <x:xf numFmtId="0" fontId="7" fillId="3" borderId="0" xfId="0" applyNumberFormat="1" applyFont="1" applyFill="1" applyBorder="1" applyAlignment="1">
      <x:alignment vertical="top"/>
    </x:xf>
    <x:xf numFmtId="0" fontId="7" fillId="3" borderId="0" xfId="0" applyNumberFormat="1" applyFont="1" applyFill="1" applyBorder="1" applyAlignment="1">
      <x:alignment horizontal="center" vertical="top"/>
    </x:xf>
    <x:xf numFmtId="0" fontId="7" fillId="3" borderId="0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522c7843174539" /><Relationship Type="http://schemas.openxmlformats.org/officeDocument/2006/relationships/theme" Target="/xl/theme/theme1.xml" Id="Ra17d0586866e4fee" /><Relationship Type="http://schemas.openxmlformats.org/officeDocument/2006/relationships/sharedStrings" Target="/xl/sharedStrings.xml" Id="R1d33362b989e4968" /><Relationship Type="http://schemas.openxmlformats.org/officeDocument/2006/relationships/worksheet" Target="/xl/worksheets/sheet1.xml" Id="R0e0ae311b1374f3b" /><Relationship Type="http://schemas.openxmlformats.org/officeDocument/2006/relationships/worksheet" Target="/xl/worksheets/sheet2.xml" Id="Rda7878098baf43cc" /><Relationship Type="http://schemas.openxmlformats.org/officeDocument/2006/relationships/worksheet" Target="/xl/worksheets/sheet3.xml" Id="Rd27bec49666c4ad3" /><Relationship Type="http://schemas.openxmlformats.org/officeDocument/2006/relationships/worksheet" Target="/xl/worksheets/sheet4.xml" Id="R9c66dd392b554d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32" hidden="0" customWidth="1"/>
    <x:col min="3" max="3" width="32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2" ht="24" customHeight="1">
      <x:c r="A2" s="1" t="str">
        <x:v>LeadFlow — Modalidades comerciales</x:v>
      </x:c>
    </x:row>
    <x:row r="3" ht="20" customHeight="1">
      <x:c r="A3" s="2" t="str">
        <x:v>Verde: decisión aprobada. Amarillo: supuesto provisional o verificación pendiente.</x:v>
      </x:c>
    </x:row>
    <x:row r="5" ht="30" customHeight="1">
      <x:c r="A5" s="8" t="str">
        <x:v>Materia</x:v>
      </x:c>
      <x:c r="B5" s="8" t="str">
        <x:v>A — Entrega técnica</x:v>
      </x:c>
      <x:c r="C5" s="8" t="str">
        <x:v>B — Implementado por Emactiva</x:v>
      </x:c>
      <x:c r="D5" s="8" t="str">
        <x:v>Estado / nota</x:v>
      </x:c>
    </x:row>
    <x:row r="6" ht="36" customHeight="1">
      <x:c r="A6" s="14" t="str">
        <x:v>Resultado</x:v>
      </x:c>
      <x:c r="B6" s="15" t="str">
        <x:v>Artefactos, configuración documentada, documentación y handoff</x:v>
      </x:c>
      <x:c r="C6" s="15" t="str">
        <x:v>Configuración, integración compatible, deployment, validación, documentación y handoff</x:v>
      </x:c>
      <x:c r="D6" s="14" t="str">
        <x:v>Aprobado</x:v>
      </x:c>
    </x:row>
    <x:row r="7" ht="36" customHeight="1">
      <x:c r="A7" s="14" t="str">
        <x:v>Implementación</x:v>
      </x:c>
      <x:c r="B7" s="15" t="str">
        <x:v>Cliente</x:v>
      </x:c>
      <x:c r="C7" s="15" t="str">
        <x:v>Emactiva en entorno autorizado</x:v>
      </x:c>
      <x:c r="D7" s="14" t="str">
        <x:v>Aprobado</x:v>
      </x:c>
    </x:row>
    <x:row r="8" ht="36" customHeight="1">
      <x:c r="A8" s="14" t="str">
        <x:v>Trabajo interno presupuestado</x:v>
      </x:c>
      <x:c r="B8" s="16" t="n">
        <x:v>10</x:v>
      </x:c>
      <x:c r="C8" s="16" t="n">
        <x:v>36</x:v>
      </x:c>
      <x:c r="D8" s="14" t="str">
        <x:v>Aprobado; horas</x:v>
      </x:c>
    </x:row>
    <x:row r="9" ht="36" customHeight="1">
      <x:c r="A9" s="14" t="str">
        <x:v>Reserva interna de soporte</x:v>
      </x:c>
      <x:c r="B9" s="16" t="n">
        <x:v>2</x:v>
      </x:c>
      <x:c r="C9" s="16" t="n">
        <x:v>4</x:v>
      </x:c>
      <x:c r="D9" s="14" t="str">
        <x:v>Aprobado; horas</x:v>
      </x:c>
    </x:row>
    <x:row r="10" ht="36" customHeight="1">
      <x:c r="A10" s="14" t="str">
        <x:v>Total económico presupuestado</x:v>
      </x:c>
      <x:c r="B10" s="16" t="n">
        <x:f>B8+B9</x:f>
        <x:v>12</x:v>
      </x:c>
      <x:c r="C10" s="16" t="n">
        <x:f>C8+C9</x:f>
        <x:v>40</x:v>
      </x:c>
      <x:c r="D10" s="14" t="str">
        <x:v>Fórmula</x:v>
      </x:c>
    </x:row>
    <x:row r="11" ht="36" customHeight="1">
      <x:c r="A11" s="14" t="str">
        <x:v>Plazo comercial</x:v>
      </x:c>
      <x:c r="B11" s="15" t="str">
        <x:v>1 día hábil</x:v>
      </x:c>
      <x:c r="C11" s="15" t="str">
        <x:v>5 días hábiles</x:v>
      </x:c>
      <x:c r="D11" s="14" t="str">
        <x:v>Condicionado a requisitos; preflight previo en B</x:v>
      </x:c>
    </x:row>
    <x:row r="12" ht="36" customHeight="1">
      <x:c r="A12" s="14" t="str">
        <x:v>Soporte inicial</x:v>
      </x:c>
      <x:c r="B12" s="15" t="str">
        <x:v>5 días hábiles</x:v>
      </x:c>
      <x:c r="C12" s="15" t="str">
        <x:v>10 días hábiles</x:v>
      </x:c>
      <x:c r="D12" s="14" t="str">
        <x:v>Horario laboral acordado; no 24/7</x:v>
      </x:c>
    </x:row>
    <x:row r="13" ht="36" customHeight="1">
      <x:c r="A13" s="14" t="str">
        <x:v>Precio inicial neto</x:v>
      </x:c>
      <x:c r="B13" s="17" t="n">
        <x:v>400000</x:v>
      </x:c>
      <x:c r="C13" s="17" t="n">
        <x:v>1200000</x:v>
      </x:c>
      <x:c r="D13" s="14" t="str">
        <x:v>CLP netos</x:v>
      </x:c>
    </x:row>
    <x:row r="14" ht="36" customHeight="1">
      <x:c r="A14" s="14" t="str">
        <x:v>Anticipo</x:v>
      </x:c>
      <x:c r="B14" s="17" t="n">
        <x:f>B13*50%</x:f>
        <x:v>200000</x:v>
      </x:c>
      <x:c r="C14" s="17" t="n">
        <x:f>C13*50%</x:f>
        <x:v>600000</x:v>
      </x:c>
      <x:c r="D14" s="14" t="str">
        <x:v>50 %</x:v>
      </x:c>
    </x:row>
    <x:row r="15" ht="36" customHeight="1">
      <x:c r="A15" s="14" t="str">
        <x:v>Saldo contra entrega</x:v>
      </x:c>
      <x:c r="B15" s="17" t="n">
        <x:f>B13-B14</x:f>
        <x:v>200000</x:v>
      </x:c>
      <x:c r="C15" s="17" t="n">
        <x:f>C13-C14</x:f>
        <x:v>600000</x:v>
      </x:c>
      <x:c r="D15" s="14" t="str">
        <x:v>50 %</x:v>
      </x:c>
    </x:row>
    <x:row r="16" ht="36" customHeight="1">
      <x:c r="A16" s="14" t="str">
        <x:v>Observaciones</x:v>
      </x:c>
      <x:c r="B16" s="15" t="str">
        <x:v>3 días hábiles</x:v>
      </x:c>
      <x:c r="C16" s="15" t="str">
        <x:v>3 días hábiles</x:v>
      </x:c>
      <x:c r="D16" s="14" t="str">
        <x:v>Incumplimientos concretos; sin aceptación automática por silencio</x:v>
      </x:c>
    </x:row>
    <x:row r="17" ht="36" customHeight="1">
      <x:c r="A17" s="14" t="str">
        <x:v>CRM compatible inicialmente</x:v>
      </x:c>
      <x:c r="B17" s="15" t="str">
        <x:v>HubSpot, alcance validado</x:v>
      </x:c>
      <x:c r="C17" s="15" t="str">
        <x:v>HubSpot, alcance validado</x:v>
      </x:c>
      <x:c r="D17" s="14" t="str">
        <x:v>Otro CRM requiere evaluación y validación</x:v>
      </x:c>
    </x:row>
    <x:row r="18" ht="36" customHeight="1">
      <x:c r="A18" s="14" t="str">
        <x:v>Operación posterior</x:v>
      </x:c>
      <x:c r="B18" s="15" t="str">
        <x:v>Cliente</x:v>
      </x:c>
      <x:c r="C18" s="15" t="str">
        <x:v>Cliente después del handoff</x:v>
      </x:c>
      <x:c r="D18" s="14" t="str">
        <x:v>Mantenimiento recurrente no incluido</x:v>
      </x:c>
    </x:row>
  </x:sheetData>
  <x:mergeCells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</x:cols>
  <x:sheetData>
    <x:row r="2" ht="24" customHeight="1">
      <x:c r="A2" s="1" t="str">
        <x:v>Costos internos y supuestos</x:v>
      </x:c>
    </x:row>
    <x:row r="3" ht="20" customHeight="1">
      <x:c r="A3" s="2" t="str">
        <x:v>Los valores amarillos son provisionales y no equivalen a hechos contables verificados.</x:v>
      </x:c>
    </x:row>
    <x:row r="5" ht="30" customHeight="1">
      <x:c r="A5" s="8" t="str">
        <x:v>Concepto</x:v>
      </x:c>
      <x:c r="B5" s="8" t="str">
        <x:v>Valor mensual</x:v>
      </x:c>
      <x:c r="C5" s="8" t="str">
        <x:v>Atribución</x:v>
      </x:c>
      <x:c r="D5" s="8" t="str">
        <x:v>Costo atribuido</x:v>
      </x:c>
    </x:row>
    <x:row r="6">
      <x:c r="A6" s="14" t="str">
        <x:v>Remuneración profesional objetivo</x:v>
      </x:c>
      <x:c r="B6" s="30" t="n">
        <x:v>2000000</x:v>
      </x:c>
      <x:c r="C6" s="31" t="n">
        <x:v>1</x:v>
      </x:c>
      <x:c r="D6" s="30" t="n">
        <x:f>B6*C6</x:f>
        <x:v>2000000</x:v>
      </x:c>
      <x:c r="E6" s="14"/>
      <x:c r="F6" s="14"/>
      <x:c r="G6" s="14"/>
      <x:c r="H6" s="14"/>
    </x:row>
    <x:row r="7">
      <x:c r="A7" s="14" t="str">
        <x:v>Internet</x:v>
      </x:c>
      <x:c r="B7" s="30" t="n">
        <x:v>20000</x:v>
      </x:c>
      <x:c r="C7" s="31" t="n">
        <x:v>0.5</x:v>
      </x:c>
      <x:c r="D7" s="30" t="n">
        <x:f>B7*C7</x:f>
        <x:v>10000</x:v>
      </x:c>
      <x:c r="E7" s="14"/>
      <x:c r="F7" s="14"/>
      <x:c r="G7" s="14"/>
      <x:c r="H7" s="14"/>
    </x:row>
    <x:row r="8">
      <x:c r="A8" s="14" t="str">
        <x:v>Electricidad</x:v>
      </x:c>
      <x:c r="B8" s="30" t="n">
        <x:v>30000</x:v>
      </x:c>
      <x:c r="C8" s="31" t="n">
        <x:v>0.2</x:v>
      </x:c>
      <x:c r="D8" s="30" t="n">
        <x:f>B8*C8</x:f>
        <x:v>6000</x:v>
      </x:c>
      <x:c r="E8" s="14"/>
      <x:c r="F8" s="14"/>
      <x:c r="G8" s="14"/>
      <x:c r="H8" s="14"/>
    </x:row>
    <x:row r="9">
      <x:c r="A9" s="14" t="str">
        <x:v>IA</x:v>
      </x:c>
      <x:c r="B9" s="30" t="n">
        <x:v>22000</x:v>
      </x:c>
      <x:c r="C9" s="31" t="n">
        <x:v>1</x:v>
      </x:c>
      <x:c r="D9" s="30" t="n">
        <x:f>B9*C9</x:f>
        <x:v>22000</x:v>
      </x:c>
      <x:c r="E9" s="14"/>
      <x:c r="F9" s="14"/>
      <x:c r="G9" s="14"/>
      <x:c r="H9" s="14"/>
    </x:row>
    <x:row r="10">
      <x:c r="A10" s="14" t="str">
        <x:v>Otros programas y servicios</x:v>
      </x:c>
      <x:c r="B10" s="30" t="n">
        <x:v>20000</x:v>
      </x:c>
      <x:c r="C10" s="31" t="n">
        <x:v>1</x:v>
      </x:c>
      <x:c r="D10" s="30" t="n">
        <x:f>B10*C10</x:f>
        <x:v>20000</x:v>
      </x:c>
      <x:c r="E10" s="14"/>
      <x:c r="F10" s="14"/>
      <x:c r="G10" s="14"/>
      <x:c r="H10" s="14"/>
    </x:row>
    <x:row r="11">
      <x:c r="A11" s="32" t="str">
        <x:v>Costo interno mensual considerado</x:v>
      </x:c>
      <x:c r="B11" s="33" t="str"/>
      <x:c r="C11" s="33" t="str"/>
      <x:c r="D11" s="34" t="n">
        <x:f>SUM(D6:D10)</x:f>
        <x:v>2058000</x:v>
      </x:c>
      <x:c r="E11" s="14"/>
      <x:c r="F11" s="14"/>
      <x:c r="G11" s="14"/>
      <x:c r="H11" s="14"/>
    </x:row>
    <x:row r="12">
      <x:c r="A12" s="32" t="str">
        <x:v>Horas productivas mensuales</x:v>
      </x:c>
      <x:c r="B12" s="33" t="n">
        <x:v>160</x:v>
      </x:c>
      <x:c r="C12" s="33" t="str"/>
      <x:c r="D12" s="33" t="str"/>
      <x:c r="E12" s="14"/>
      <x:c r="F12" s="14"/>
      <x:c r="G12" s="14"/>
      <x:c r="H12" s="14"/>
    </x:row>
    <x:row r="13">
      <x:c r="A13" s="32" t="str">
        <x:v>Costo horario interno provisional</x:v>
      </x:c>
      <x:c r="B13" s="33" t="str"/>
      <x:c r="C13" s="33" t="str"/>
      <x:c r="D13" s="35" t="n">
        <x:f>D11/B12</x:f>
        <x:v>12862.5</x:v>
      </x:c>
      <x:c r="E13" s="14"/>
      <x:c r="F13" s="14"/>
      <x:c r="G13" s="14"/>
      <x:c r="H13" s="14"/>
    </x:row>
    <x:row r="14">
      <x:c r="A14" s="14" t="str">
        <x:v>Reserva mensual mejoras PC</x:v>
      </x:c>
      <x:c r="B14" s="30" t="n">
        <x:v>30000</x:v>
      </x:c>
      <x:c r="C14" s="36" t="str">
        <x:v>No incorporada</x:v>
      </x:c>
      <x:c r="D14" s="36" t="str">
        <x:v>Reserva de inversión</x:v>
      </x:c>
      <x:c r="E14" s="14"/>
      <x:c r="F14" s="14"/>
      <x:c r="G14" s="14"/>
      <x:c r="H14" s="14"/>
    </x:row>
    <x:row r="15">
      <x:c r="A15" s="14"/>
      <x:c r="B15" s="14"/>
      <x:c r="C15" s="14"/>
      <x:c r="D15" s="14"/>
      <x:c r="E15" s="14"/>
      <x:c r="F15" s="14"/>
      <x:c r="G15" s="14"/>
      <x:c r="H15" s="14"/>
    </x:row>
    <x:row r="16" ht="30" customHeight="1">
      <x:c r="A16" s="8" t="str">
        <x:v>Modalidad</x:v>
      </x:c>
      <x:c r="B16" s="8" t="str">
        <x:v>Trabajo</x:v>
      </x:c>
      <x:c r="C16" s="8" t="str">
        <x:v>Reserva soporte</x:v>
      </x:c>
      <x:c r="D16" s="8" t="str">
        <x:v>Horas totales</x:v>
      </x:c>
      <x:c r="E16" s="8" t="str">
        <x:v>Costo interno</x:v>
      </x:c>
      <x:c r="F16" s="8" t="str">
        <x:v>Precio neto</x:v>
      </x:c>
      <x:c r="G16" s="8" t="str">
        <x:v>Diferencia simple</x:v>
      </x:c>
      <x:c r="H16" s="8" t="str">
        <x:v>Nota</x:v>
      </x:c>
    </x:row>
    <x:row r="17">
      <x:c r="A17" s="14" t="str">
        <x:v>A — Entrega técnica</x:v>
      </x:c>
      <x:c r="B17" s="14" t="n">
        <x:v>10</x:v>
      </x:c>
      <x:c r="C17" s="14" t="n">
        <x:v>2</x:v>
      </x:c>
      <x:c r="D17" s="14" t="n">
        <x:f>B17+C17</x:f>
        <x:v>12</x:v>
      </x:c>
      <x:c r="E17" s="37" t="n">
        <x:f>D17*$D$13</x:f>
        <x:v>154350</x:v>
      </x:c>
      <x:c r="F17" s="37" t="n">
        <x:v>400000</x:v>
      </x:c>
      <x:c r="G17" s="37" t="n">
        <x:f>F17-E17</x:f>
        <x:v>245650</x:v>
      </x:c>
      <x:c r="H17" s="14" t="str">
        <x:v>No es utilidad neta</x:v>
      </x:c>
    </x:row>
    <x:row r="18">
      <x:c r="A18" s="14" t="str">
        <x:v>B — Implementado por Emactiva</x:v>
      </x:c>
      <x:c r="B18" s="14" t="n">
        <x:v>36</x:v>
      </x:c>
      <x:c r="C18" s="14" t="n">
        <x:v>4</x:v>
      </x:c>
      <x:c r="D18" s="14" t="n">
        <x:f>B18+C18</x:f>
        <x:v>40</x:v>
      </x:c>
      <x:c r="E18" s="37" t="n">
        <x:f>D18*$D$13</x:f>
        <x:v>514500</x:v>
      </x:c>
      <x:c r="F18" s="37" t="n">
        <x:v>1200000</x:v>
      </x:c>
      <x:c r="G18" s="37" t="n">
        <x:f>F18-E18</x:f>
        <x:v>685500</x:v>
      </x:c>
      <x:c r="H18" s="14" t="str">
        <x:v>No es utilidad neta</x:v>
      </x:c>
    </x:row>
  </x:sheetData>
  <x:mergeCells>
    <x:mergeCell ref="A2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38" hidden="0" customWidth="1"/>
    <x:col min="3" max="3" width="38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2" ht="24" customHeight="1">
      <x:c r="A2" s="1" t="str">
        <x:v>Inclusiones, exclusiones y responsabilidades</x:v>
      </x:c>
    </x:row>
    <x:row r="3" ht="20" customHeight="1">
      <x:c r="A3" s="2" t="str">
        <x:v>El alcance específico debe confirmarse en cada cotización.</x:v>
      </x:c>
    </x:row>
    <x:row r="5" ht="30" customHeight="1">
      <x:c r="A5" s="8" t="str">
        <x:v>Área</x:v>
      </x:c>
      <x:c r="B5" s="8" t="str">
        <x:v>A — Entrega técnica</x:v>
      </x:c>
      <x:c r="C5" s="8" t="str">
        <x:v>B — Implementado por Emactiva</x:v>
      </x:c>
      <x:c r="D5" s="8" t="str">
        <x:v>Responsable / condición</x:v>
      </x:c>
    </x:row>
    <x:row r="6" ht="39" customHeight="1">
      <x:c r="A6" s="14" t="str">
        <x:v>Artefactos y documentación</x:v>
      </x:c>
      <x:c r="B6" s="15" t="str">
        <x:v>Incluidos</x:v>
      </x:c>
      <x:c r="C6" s="15" t="str">
        <x:v>Incluidos y adaptados al alcance</x:v>
      </x:c>
      <x:c r="D6" s="14" t="str">
        <x:v>Emactiva</x:v>
      </x:c>
    </x:row>
    <x:row r="7" ht="39" customHeight="1">
      <x:c r="A7" s="14" t="str">
        <x:v>Configuración</x:v>
      </x:c>
      <x:c r="B7" s="15" t="str">
        <x:v>Documentada</x:v>
      </x:c>
      <x:c r="C7" s="15" t="str">
        <x:v>Ejecutada según alcance</x:v>
      </x:c>
      <x:c r="D7" s="14" t="str">
        <x:v>Emactiva</x:v>
      </x:c>
    </x:row>
    <x:row r="8" ht="39" customHeight="1">
      <x:c r="A8" s="14" t="str">
        <x:v>Deployment</x:v>
      </x:c>
      <x:c r="B8" s="15" t="str">
        <x:v>No incluido</x:v>
      </x:c>
      <x:c r="C8" s="15" t="str">
        <x:v>Incluido tras preflight aprobado</x:v>
      </x:c>
      <x:c r="D8" s="14" t="str">
        <x:v>Cliente en A / Emactiva en B</x:v>
      </x:c>
    </x:row>
    <x:row r="9" ht="39" customHeight="1">
      <x:c r="A9" s="14" t="str">
        <x:v>Infraestructura y cuentas</x:v>
      </x:c>
      <x:c r="B9" s="15" t="str">
        <x:v>No incluidas</x:v>
      </x:c>
      <x:c r="C9" s="15" t="str">
        <x:v>Provistas/autorizadas por cliente</x:v>
      </x:c>
      <x:c r="D9" s="14" t="str">
        <x:v>Cliente contrata y paga</x:v>
      </x:c>
    </x:row>
    <x:row r="10" ht="39" customHeight="1">
      <x:c r="A10" s="14" t="str">
        <x:v>Secretos</x:v>
      </x:c>
      <x:c r="B10" s="15" t="str">
        <x:v>No se documentan ni versionan</x:v>
      </x:c>
      <x:c r="C10" s="15" t="str">
        <x:v>Mecanismo externo autorizado</x:v>
      </x:c>
      <x:c r="D10" s="14" t="str">
        <x:v>Cliente custodia; Emactiva usa mínimo privilegio</x:v>
      </x:c>
    </x:row>
    <x:row r="11" ht="39" customHeight="1">
      <x:c r="A11" s="14" t="str">
        <x:v>QA técnica</x:v>
      </x:c>
      <x:c r="B11" s="15" t="str">
        <x:v>Cliente valida su deployment</x:v>
      </x:c>
      <x:c r="C11" s="15" t="str">
        <x:v>Emactiva ejecuta QA acordada</x:v>
      </x:c>
      <x:c r="D11" s="14" t="str">
        <x:v>Controles de entorno requieren evidencia real</x:v>
      </x:c>
    </x:row>
    <x:row r="12" ht="39" customHeight="1">
      <x:c r="A12" s="14" t="str">
        <x:v>Aceptación funcional</x:v>
      </x:c>
      <x:c r="B12" s="15" t="str">
        <x:v>Cliente</x:v>
      </x:c>
      <x:c r="C12" s="15" t="str">
        <x:v>Cliente</x:v>
      </x:c>
      <x:c r="D12" s="14" t="str">
        <x:v>Cliente</x:v>
      </x:c>
    </x:row>
    <x:row r="13" ht="39" customHeight="1">
      <x:c r="A13" s="14" t="str">
        <x:v>Operación posterior</x:v>
      </x:c>
      <x:c r="B13" s="15" t="str">
        <x:v>Cliente</x:v>
      </x:c>
      <x:c r="C13" s="15" t="str">
        <x:v>Cliente después del handoff</x:v>
      </x:c>
      <x:c r="D13" s="14" t="str">
        <x:v>No incluida</x:v>
      </x:c>
    </x:row>
    <x:row r="14" ht="39" customHeight="1">
      <x:c r="A14" s="14" t="str">
        <x:v>Nuevo CRM Adapter</x:v>
      </x:c>
      <x:c r="B14" s="15" t="str">
        <x:v>No incluido</x:v>
      </x:c>
      <x:c r="C14" s="15" t="str">
        <x:v>No incluido automáticamente</x:v>
      </x:c>
      <x:c r="D14" s="14" t="str">
        <x:v>Evaluación, desarrollo y validación separados</x:v>
      </x:c>
    </x:row>
    <x:row r="15" ht="39" customHeight="1">
      <x:c r="A15" s="14" t="str">
        <x:v>Soporte 24/7 / monitoreo</x:v>
      </x:c>
      <x:c r="B15" s="15" t="str">
        <x:v>No incluido</x:v>
      </x:c>
      <x:c r="C15" s="15" t="str">
        <x:v>No incluido</x:v>
      </x:c>
      <x:c r="D15" s="14" t="str">
        <x:v>Sin SLA inventado</x:v>
      </x:c>
    </x:row>
    <x:row r="16" ht="39" customHeight="1">
      <x:c r="A16" s="14" t="str">
        <x:v>Mantenimiento recurrente</x:v>
      </x:c>
      <x:c r="B16" s="15" t="str">
        <x:v>No incluido</x:v>
      </x:c>
      <x:c r="C16" s="15" t="str">
        <x:v>No incluido</x:v>
      </x:c>
      <x:c r="D16" s="14" t="str">
        <x:v>Oferta vigente no incluye mensualidad</x:v>
      </x:c>
    </x:row>
  </x:sheetData>
  <x:mergeCells>
    <x:mergeCell ref="A2:H2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55" hidden="0" customWidth="1"/>
    <x:col min="4" max="4" width="3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2" ht="24" customHeight="1">
      <x:c r="A2" s="1" t="str">
        <x:v>Restricciones y verificaciones pendientes</x:v>
      </x:c>
    </x:row>
    <x:row r="3" ht="20" customHeight="1">
      <x:c r="A3" s="2" t="str">
        <x:v>Los estados reflejan evidencia existente; no implican habilitación comercial.</x:v>
      </x:c>
    </x:row>
    <x:row r="5" ht="30" customHeight="1">
      <x:c r="A5" s="8" t="str">
        <x:v>Materia</x:v>
      </x:c>
      <x:c r="B5" s="8" t="str">
        <x:v>Estado</x:v>
      </x:c>
      <x:c r="C5" s="8" t="str">
        <x:v>Restricción / evidencia</x:v>
      </x:c>
      <x:c r="D5" s="8" t="str">
        <x:v>Acción previa a habilitación</x:v>
      </x:c>
    </x:row>
    <x:row r="6" ht="44" customHeight="1">
      <x:c r="A6" s="14" t="str">
        <x:v>HubSpot Contact + Ticket</x:v>
      </x:c>
      <x:c r="B6" s="41" t="str">
        <x:v>PASS existente</x:v>
      </x:c>
      <x:c r="C6" s="14" t="str">
        <x:v>Primer CRM Adapter real validado dentro del alcance demostrado</x:v>
      </x:c>
      <x:c r="D6" s="14" t="str">
        <x:v>Confirmar configuración y scopes del entorno</x:v>
      </x:c>
    </x:row>
    <x:row r="7" ht="44" customHeight="1">
      <x:c r="A7" s="14" t="str">
        <x:v>DELETE HubSpot Ticket</x:v>
      </x:c>
      <x:c r="B7" s="42" t="str">
        <x:v>WARN</x:v>
      </x:c>
      <x:c r="C7" s="14" t="str">
        <x:v>Archivado demuestra ausencia operativa, no eliminación física irreversible</x:v>
      </x:c>
      <x:c r="D7" s="14" t="str">
        <x:v>Mantener limitación explícita</x:v>
      </x:c>
    </x:row>
    <x:row r="8" ht="44" customHeight="1">
      <x:c r="A8" s="14" t="str">
        <x:v>RESTRICT externo HubSpot</x:v>
      </x:c>
      <x:c r="B8" s="42" t="str">
        <x:v>NOT_VERIFIED</x:v>
      </x:c>
      <x:c r="C8" s="14" t="str">
        <x:v>capability_not_available</x:v>
      </x:c>
      <x:c r="D8" s="14" t="str">
        <x:v>No prometer cobertura externa</x:v>
      </x:c>
    </x:row>
    <x:row r="9" ht="44" customHeight="1">
      <x:c r="A9" s="14" t="str">
        <x:v>Otros CRM</x:v>
      </x:c>
      <x:c r="B9" s="42" t="str">
        <x:v>NOT_VERIFIED</x:v>
      </x:c>
      <x:c r="C9" s="14" t="str">
        <x:v>No heredan compatibilidad</x:v>
      </x:c>
      <x:c r="D9" s="14" t="str">
        <x:v>Evaluar capacidades, adaptar/desarrollar y validar</x:v>
      </x:c>
    </x:row>
    <x:row r="10" ht="44" customHeight="1">
      <x:c r="A10" s="14" t="str">
        <x:v>Licencias de terceros</x:v>
      </x:c>
      <x:c r="B10" s="42" t="str">
        <x:v>NOT_VERIFIED</x:v>
      </x:c>
      <x:c r="C10" s="14" t="str">
        <x:v>Condicionan entrega, modificación y redistribución</x:v>
      </x:c>
      <x:c r="D10" s="14" t="str">
        <x:v>Revisión de licencias por modalidad</x:v>
      </x:c>
    </x:row>
    <x:row r="11" ht="44" customHeight="1">
      <x:c r="A11" s="14" t="str">
        <x:v>Titularidad de componentes</x:v>
      </x:c>
      <x:c r="B11" s="42" t="str">
        <x:v>NOT_VERIFIED</x:v>
      </x:c>
      <x:c r="C11" s="14" t="str">
        <x:v>No se presume propiedad no acreditada</x:v>
      </x:c>
      <x:c r="D11" s="14" t="str">
        <x:v>Verificación jurídica/documental</x:v>
      </x:c>
    </x:row>
    <x:row r="12" ht="44" customHeight="1">
      <x:c r="A12" s="14" t="str">
        <x:v>Tratamiento tributario</x:v>
      </x:c>
      <x:c r="B12" s="42" t="str">
        <x:v>NOT_VERIFIED</x:v>
      </x:c>
      <x:c r="C12" s="14" t="str">
        <x:v>Precio informado como neto</x:v>
      </x:c>
      <x:c r="D12" s="14" t="str">
        <x:v>Confirmar documento e impuestos aplicables</x:v>
      </x:c>
    </x:row>
    <x:row r="13" ht="44" customHeight="1">
      <x:c r="A13" s="14" t="str">
        <x:v>Costo horario</x:v>
      </x:c>
      <x:c r="B13" s="42" t="str">
        <x:v>PROVISIONAL</x:v>
      </x:c>
      <x:c r="C13" s="14" t="str">
        <x:v>Basado en atribuciones internas no auditadas</x:v>
      </x:c>
      <x:c r="D13" s="14" t="str">
        <x:v>Validación contable y revisión periódica</x:v>
      </x:c>
    </x:row>
    <x:row r="14" ht="44" customHeight="1">
      <x:c r="A14" s="14" t="str">
        <x:v>Inversión histórica</x:v>
      </x:c>
      <x:c r="B14" s="42" t="str">
        <x:v>NOT_VERIFIED</x:v>
      </x:c>
      <x:c r="C14" s="14" t="str">
        <x:v>Sin registros horarios completos; no se inventa monto</x:v>
      </x:c>
      <x:c r="D14" s="14" t="str">
        <x:v>Analizar separadamente</x:v>
      </x:c>
    </x:row>
    <x:row r="15" ht="44" customHeight="1">
      <x:c r="A15" s="14" t="str">
        <x:v>Controles de deployment</x:v>
      </x:c>
      <x:c r="B15" s="42" t="str">
        <x:v>NOT_VERIFIED por entorno</x:v>
      </x:c>
      <x:c r="C15" s="14" t="str">
        <x:v>Red, DNS/TLS, IAM, backups, monitoreo y operación dependen del cliente</x:v>
      </x:c>
      <x:c r="D15" s="14" t="str">
        <x:v>Preflight y evidencia del entorno</x:v>
      </x:c>
    </x:row>
  </x:sheetData>
  <x:mergeCells>
    <x:mergeCell ref="A2:H2"/>
    <x:mergeCell ref="A3:H3"/>
  </x:mergeCells>
  <x:pageMargins left="0.7" right="0.7" top="0.75" bottom="0.75" header="0.3" footer="0.3"/>
</x:worksheet>
</file>